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Spectrométrie de Masse\Xevo TQ-XS\Dosage SCFA 2024.PRO\Rapport\FP_2024_65_HarrySokol\Feces\"/>
    </mc:Choice>
  </mc:AlternateContent>
  <xr:revisionPtr revIDLastSave="0" documentId="13_ncr:1_{C4399E3A-3405-4563-88F1-B1C6EA5F55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et" sheetId="3" r:id="rId1"/>
    <sheet name="Quality Control" sheetId="4" r:id="rId2"/>
    <sheet name="Plate Map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<sst xmlns="http://schemas.openxmlformats.org/spreadsheetml/2006/main" count="314" uniqueCount="160">
  <si>
    <t>Low Level QC</t>
  </si>
  <si>
    <t>Medium Level QC</t>
  </si>
  <si>
    <t>High Level QC</t>
  </si>
  <si>
    <t>Theorical Concentrations (nM)</t>
  </si>
  <si>
    <t>Beginning of the batch</t>
  </si>
  <si>
    <t>End of the batch</t>
  </si>
  <si>
    <t>Calculated Concentrations (nM)</t>
  </si>
  <si>
    <t>% Diff</t>
  </si>
  <si>
    <t>C2</t>
  </si>
  <si>
    <t>C3</t>
  </si>
  <si>
    <t>C4</t>
  </si>
  <si>
    <t>IC4</t>
  </si>
  <si>
    <t>C5</t>
  </si>
  <si>
    <t>IC5</t>
  </si>
  <si>
    <t>A</t>
  </si>
  <si>
    <t>L1</t>
  </si>
  <si>
    <t>L2</t>
  </si>
  <si>
    <t>L3</t>
  </si>
  <si>
    <t>L4</t>
  </si>
  <si>
    <t>L5</t>
  </si>
  <si>
    <t>L6</t>
  </si>
  <si>
    <t>L7</t>
  </si>
  <si>
    <t>QC_Low_1</t>
  </si>
  <si>
    <t>QC_Medium_1</t>
  </si>
  <si>
    <t>QC_High_1</t>
  </si>
  <si>
    <t>B</t>
  </si>
  <si>
    <t>C</t>
  </si>
  <si>
    <t>D</t>
  </si>
  <si>
    <t>E</t>
  </si>
  <si>
    <t>F</t>
  </si>
  <si>
    <t>G</t>
  </si>
  <si>
    <t>H</t>
  </si>
  <si>
    <t>LLOQ (nM)</t>
  </si>
  <si>
    <t>ULOQ (nM)</t>
  </si>
  <si>
    <t>Sample ID Tours</t>
  </si>
  <si>
    <t>2024_3331</t>
  </si>
  <si>
    <t>2024_3332</t>
  </si>
  <si>
    <t>2024_3333</t>
  </si>
  <si>
    <t>2024_3334</t>
  </si>
  <si>
    <t>2024_3335</t>
  </si>
  <si>
    <t>2024_3336</t>
  </si>
  <si>
    <t>2024_3337</t>
  </si>
  <si>
    <t>2024_3338</t>
  </si>
  <si>
    <t>2024_3339</t>
  </si>
  <si>
    <t>2024_3340</t>
  </si>
  <si>
    <t>2024_3341</t>
  </si>
  <si>
    <t>2024_3342</t>
  </si>
  <si>
    <t>2024_3343</t>
  </si>
  <si>
    <t>2024_3344</t>
  </si>
  <si>
    <t>2024_3345</t>
  </si>
  <si>
    <t>2024_3346</t>
  </si>
  <si>
    <t>2024_3347</t>
  </si>
  <si>
    <t>2024_3348</t>
  </si>
  <si>
    <t>2024_3349</t>
  </si>
  <si>
    <t>2024_3350</t>
  </si>
  <si>
    <t>2024_3351</t>
  </si>
  <si>
    <t>2024_3352</t>
  </si>
  <si>
    <t>2024_3353</t>
  </si>
  <si>
    <t>2024_3354</t>
  </si>
  <si>
    <t>2024_3355</t>
  </si>
  <si>
    <t>2024_3356</t>
  </si>
  <si>
    <t>2024_3357</t>
  </si>
  <si>
    <t>2024_3358</t>
  </si>
  <si>
    <t>2024_3359</t>
  </si>
  <si>
    <t>2024_3360</t>
  </si>
  <si>
    <t>2024_3361</t>
  </si>
  <si>
    <t>QC_Low_2</t>
  </si>
  <si>
    <t>QC_Medium_2</t>
  </si>
  <si>
    <t>QC_High_2</t>
  </si>
  <si>
    <t>-0.7</t>
  </si>
  <si>
    <t>17000.000</t>
  </si>
  <si>
    <t>16376.2</t>
  </si>
  <si>
    <t>-3.7</t>
  </si>
  <si>
    <t>170000.000</t>
  </si>
  <si>
    <t>173113.6</t>
  </si>
  <si>
    <t>1.8</t>
  </si>
  <si>
    <t>340000.000</t>
  </si>
  <si>
    <t>344348.7</t>
  </si>
  <si>
    <t>1.3</t>
  </si>
  <si>
    <t>16706.6</t>
  </si>
  <si>
    <t>-1.7</t>
  </si>
  <si>
    <t>169533.8</t>
  </si>
  <si>
    <t>-0.3</t>
  </si>
  <si>
    <t>343335.8</t>
  </si>
  <si>
    <t>1.0</t>
  </si>
  <si>
    <t>9000.000</t>
  </si>
  <si>
    <t>9349.5</t>
  </si>
  <si>
    <t>3.9</t>
  </si>
  <si>
    <t>90000.000</t>
  </si>
  <si>
    <t>89189.4</t>
  </si>
  <si>
    <t>-0.9</t>
  </si>
  <si>
    <t>180000.000</t>
  </si>
  <si>
    <t>177427.1</t>
  </si>
  <si>
    <t>-1.4</t>
  </si>
  <si>
    <t>9296.4</t>
  </si>
  <si>
    <t>3.3</t>
  </si>
  <si>
    <t>89817.2</t>
  </si>
  <si>
    <t>-0.2</t>
  </si>
  <si>
    <t>180543.8</t>
  </si>
  <si>
    <t>0.3</t>
  </si>
  <si>
    <t>800.000</t>
  </si>
  <si>
    <t>809.0</t>
  </si>
  <si>
    <t>1.1</t>
  </si>
  <si>
    <t>8000.000</t>
  </si>
  <si>
    <t>7521.2</t>
  </si>
  <si>
    <t>-6.0</t>
  </si>
  <si>
    <t>16000.000</t>
  </si>
  <si>
    <t>15882.8</t>
  </si>
  <si>
    <t>823.1</t>
  </si>
  <si>
    <t>2.9</t>
  </si>
  <si>
    <t>7888.3</t>
  </si>
  <si>
    <t>15662.8</t>
  </si>
  <si>
    <t>-2.1</t>
  </si>
  <si>
    <t>Batch_1</t>
  </si>
  <si>
    <t>Batch_Dilution</t>
  </si>
  <si>
    <t>Comments</t>
  </si>
  <si>
    <t>Dilution protocol</t>
  </si>
  <si>
    <t>Cosmic 27</t>
  </si>
  <si>
    <t>Cosmic 29</t>
  </si>
  <si>
    <t>Cosmic 32</t>
  </si>
  <si>
    <t>Cosmic 34</t>
  </si>
  <si>
    <t>Cosmic 35</t>
  </si>
  <si>
    <t>Cosmic 46</t>
  </si>
  <si>
    <t>Cosmic 45</t>
  </si>
  <si>
    <t>Cosmic 48</t>
  </si>
  <si>
    <t>Cosmic 51</t>
  </si>
  <si>
    <t>Cosmic 54</t>
  </si>
  <si>
    <t>Cosmic 31</t>
  </si>
  <si>
    <t>Cosmic 36</t>
  </si>
  <si>
    <t>Cosmic 39</t>
  </si>
  <si>
    <t>Cosmic 40</t>
  </si>
  <si>
    <t>Cosmic 41</t>
  </si>
  <si>
    <t>Cosmic 52</t>
  </si>
  <si>
    <t>Cosmic 57</t>
  </si>
  <si>
    <t>Cosmic 53</t>
  </si>
  <si>
    <t>Cosmic 58</t>
  </si>
  <si>
    <t>Cosmic 56</t>
  </si>
  <si>
    <t>Cosmic 60</t>
  </si>
  <si>
    <t>1 - 892</t>
  </si>
  <si>
    <t xml:space="preserve">2 - 901 </t>
  </si>
  <si>
    <t xml:space="preserve">3 - 911  </t>
  </si>
  <si>
    <t xml:space="preserve">4 - 913 </t>
  </si>
  <si>
    <t xml:space="preserve">5 - 915 </t>
  </si>
  <si>
    <t>6 - 955</t>
  </si>
  <si>
    <t>7 - 983</t>
  </si>
  <si>
    <t>8 - 964</t>
  </si>
  <si>
    <t>11 - 821</t>
  </si>
  <si>
    <t>12 - 1052</t>
  </si>
  <si>
    <t>Sample ID</t>
  </si>
  <si>
    <t>Acetic Acid</t>
  </si>
  <si>
    <t>Acetic
Acid</t>
  </si>
  <si>
    <t>Propionic
Acid</t>
  </si>
  <si>
    <t>Butyric
Acid</t>
  </si>
  <si>
    <t>IsoButyric
Acid</t>
  </si>
  <si>
    <t>Valeric
Acid</t>
  </si>
  <si>
    <t>IsoValeric
Acid</t>
  </si>
  <si>
    <t>Butyric Acid</t>
  </si>
  <si>
    <t>IsoButyric Acid</t>
  </si>
  <si>
    <t>Biological Concentration (pmol/mg dry matter)</t>
  </si>
  <si>
    <t>&lt; LLOQ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</si>
</sst>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venirNext LT Pro Cn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5" borderId="0" xfId="0" applyFill="1"/>
    <xf numFmtId="0" fontId="2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7" fillId="8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2" fontId="0" fillId="0" borderId="7" xfId="0" applyNumberFormat="1" applyBorder="1" applyAlignment="1" applyProtection="1">
      <alignment horizontal="center" vertical="center"/>
    </xf>
    <xf numFmtId="2" fontId="0" fillId="7" borderId="7" xfId="0" applyNumberFormat="1" applyFill="1" applyBorder="1" applyAlignment="1" applyProtection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2">
    <cellStyle name="Normal" xfId="0" builtinId="0"/>
    <cellStyle name="Normal 4" xfId="1" xr:uid="{FB3D5814-D822-43A7-B15F-EEB45504B76E}"/>
  </cellStyles>
  <dxfs count="13">
    <dxf>
      <font>
        <color rgb="FF9C0006"/>
      </font>
      <fill>
        <patternFill>
          <fgColor indexed="64"/>
          <bgColor rgb="FFFFC7CE"/>
        </patternFill>
      </fill>
    </dxf>
    <dxf>
      <font>
        <color theme="1"/>
      </font>
      <fill>
        <patternFill>
          <fgColor indexed="64"/>
          <bgColor theme="8" tint="0.59996337778862885"/>
        </patternFill>
      </fill>
    </dxf>
    <dxf>
      <font>
        <color auto="1"/>
      </font>
      <fill>
        <patternFill>
          <fgColor indexed="64"/>
          <bgColor theme="5" tint="0.59996337778862885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4CF1-EA6A-43F9-BA41-F4BE0D9988C1}">
  <sheetPr codeName="Feuil3">
    <tabColor rgb="FF00B050"/>
  </sheetPr>
  <dimension ref="C1:K53"/>
  <sheetViews>
    <sheetView tabSelected="1" zoomScale="85" zoomScaleNormal="85" workbookViewId="0">
      <selection activeCell="G13" sqref="G13"/>
    </sheetView>
  </sheetViews>
  <sheetFormatPr baseColWidth="10" defaultRowHeight="14.4"/>
  <cols>
    <col min="3" max="3" width="47.6640625" bestFit="1" customWidth="1"/>
    <col min="5" max="5" width="21.33203125" customWidth="1"/>
    <col min="6" max="6" width="13.109375" bestFit="1" customWidth="1"/>
    <col min="7" max="7" width="11.5546875" bestFit="1" customWidth="1"/>
    <col min="8" max="8" width="13.109375" bestFit="1" customWidth="1"/>
    <col min="9" max="9" width="10.6640625" bestFit="1" customWidth="1"/>
    <col min="10" max="10" width="12.109375" bestFit="1" customWidth="1"/>
    <col min="11" max="11" width="10.33203125" bestFit="1" customWidth="1"/>
    <col min="13" max="13" width="15.109375" bestFit="1" customWidth="1"/>
    <col min="14" max="16" width="18.6640625" customWidth="1"/>
  </cols>
  <sheetData>
    <row r="1" spans="3:11" ht="45.75" customHeight="1">
      <c r="F1" s="37" t="s">
        <v>158</v>
      </c>
      <c r="G1" s="37"/>
      <c r="H1" s="37"/>
      <c r="I1" s="37"/>
      <c r="J1" s="37"/>
      <c r="K1" s="37"/>
    </row>
    <row r="2" spans="3:11" ht="34.5" customHeight="1">
      <c r="C2" s="31" t="s">
        <v>115</v>
      </c>
      <c r="D2" s="30" t="s">
        <v>148</v>
      </c>
      <c r="E2" s="31" t="s">
        <v>34</v>
      </c>
      <c r="F2" s="32" t="s">
        <v>150</v>
      </c>
      <c r="G2" s="33" t="s">
        <v>151</v>
      </c>
      <c r="H2" s="32" t="s">
        <v>152</v>
      </c>
      <c r="I2" s="32" t="s">
        <v>153</v>
      </c>
      <c r="J2" s="33" t="s">
        <v>154</v>
      </c>
      <c r="K2" s="33" t="s">
        <v>155</v>
      </c>
    </row>
    <row r="3" spans="3:11">
      <c r="C3" s="20"/>
      <c r="D3" s="29" t="s">
        <v>117</v>
      </c>
      <c r="E3" s="1" t="s">
        <v>35</v>
      </c>
      <c r="F3" s="35">
        <v>74370.148943089109</v>
      </c>
      <c r="G3" s="35">
        <v>6015.6999457994334</v>
      </c>
      <c r="H3" s="35">
        <v>48724.74059620576</v>
      </c>
      <c r="I3" s="35">
        <v>39.170514905148892</v>
      </c>
      <c r="J3" s="35" t="s">
        <v>159</v>
      </c>
      <c r="K3" s="35">
        <v>7.9241192411923791</v>
      </c>
    </row>
    <row r="4" spans="3:11">
      <c r="C4" s="26" t="s">
        <v>116</v>
      </c>
      <c r="D4" s="29" t="s">
        <v>118</v>
      </c>
      <c r="E4" s="1" t="s">
        <v>36</v>
      </c>
      <c r="F4" s="35">
        <v>229221.81945773534</v>
      </c>
      <c r="G4" s="35">
        <v>35172.176076555035</v>
      </c>
      <c r="H4" s="36">
        <v>1055203.8277511967</v>
      </c>
      <c r="I4" s="35">
        <v>272.07272727272738</v>
      </c>
      <c r="J4" s="35">
        <v>815.5700159489636</v>
      </c>
      <c r="K4" s="35" t="s">
        <v>159</v>
      </c>
    </row>
    <row r="5" spans="3:11">
      <c r="C5" s="20"/>
      <c r="D5" s="29" t="s">
        <v>119</v>
      </c>
      <c r="E5" s="1" t="s">
        <v>37</v>
      </c>
      <c r="F5" s="35">
        <v>16302.819459459546</v>
      </c>
      <c r="G5" s="35">
        <v>4635.0859459459698</v>
      </c>
      <c r="H5" s="35">
        <v>20748.948108108216</v>
      </c>
      <c r="I5" s="35">
        <v>54.950270270270558</v>
      </c>
      <c r="J5" s="35" t="s">
        <v>159</v>
      </c>
      <c r="K5" s="35" t="s">
        <v>159</v>
      </c>
    </row>
    <row r="6" spans="3:11">
      <c r="C6" s="26" t="s">
        <v>116</v>
      </c>
      <c r="D6" s="29" t="s">
        <v>120</v>
      </c>
      <c r="E6" s="1" t="s">
        <v>38</v>
      </c>
      <c r="F6" s="35">
        <v>275426.56161614868</v>
      </c>
      <c r="G6" s="35">
        <v>125677.28484847897</v>
      </c>
      <c r="H6" s="36">
        <v>1302076.7676767067</v>
      </c>
      <c r="I6" s="35">
        <v>34416.783838382231</v>
      </c>
      <c r="J6" s="35" t="s">
        <v>159</v>
      </c>
      <c r="K6" s="35">
        <v>5362.0161616159103</v>
      </c>
    </row>
    <row r="7" spans="3:11">
      <c r="C7" s="20"/>
      <c r="D7" s="29" t="s">
        <v>121</v>
      </c>
      <c r="E7" s="1" t="s">
        <v>39</v>
      </c>
      <c r="F7" s="35">
        <v>99276.379494583831</v>
      </c>
      <c r="G7" s="35">
        <v>56261.891119133004</v>
      </c>
      <c r="H7" s="35">
        <v>1078.915234657029</v>
      </c>
      <c r="I7" s="35">
        <v>246.54613718411304</v>
      </c>
      <c r="J7" s="35" t="s">
        <v>159</v>
      </c>
      <c r="K7" s="35">
        <v>37.04317689530648</v>
      </c>
    </row>
    <row r="8" spans="3:11">
      <c r="C8" s="24"/>
      <c r="D8" s="29" t="s">
        <v>122</v>
      </c>
      <c r="E8" s="1" t="s">
        <v>40</v>
      </c>
      <c r="F8" s="35">
        <v>43100.809132420691</v>
      </c>
      <c r="G8" s="35">
        <v>30641.755251141978</v>
      </c>
      <c r="H8" s="35">
        <v>4496.8109589041724</v>
      </c>
      <c r="I8" s="35">
        <v>117.81826484018427</v>
      </c>
      <c r="J8" s="35" t="s">
        <v>159</v>
      </c>
      <c r="K8" s="35" t="s">
        <v>159</v>
      </c>
    </row>
    <row r="9" spans="3:11">
      <c r="C9" s="20"/>
      <c r="D9" s="29" t="s">
        <v>123</v>
      </c>
      <c r="E9" s="1" t="s">
        <v>41</v>
      </c>
      <c r="F9" s="35">
        <v>115253.92313432769</v>
      </c>
      <c r="G9" s="35">
        <v>26014.89701492522</v>
      </c>
      <c r="H9" s="35">
        <v>2477.1716417910302</v>
      </c>
      <c r="I9" s="35">
        <v>34.751492537313233</v>
      </c>
      <c r="J9" s="35" t="s">
        <v>159</v>
      </c>
      <c r="K9" s="35" t="s">
        <v>159</v>
      </c>
    </row>
    <row r="10" spans="3:11">
      <c r="C10" s="20"/>
      <c r="D10" s="29" t="s">
        <v>124</v>
      </c>
      <c r="E10" s="1" t="s">
        <v>42</v>
      </c>
      <c r="F10" s="35">
        <v>249762.00909091142</v>
      </c>
      <c r="G10" s="35">
        <v>121019.47272727382</v>
      </c>
      <c r="H10" s="35">
        <v>736890.4227272796</v>
      </c>
      <c r="I10" s="35">
        <v>15717.368181818327</v>
      </c>
      <c r="J10" s="35" t="s">
        <v>159</v>
      </c>
      <c r="K10" s="35">
        <v>2257.3545454545665</v>
      </c>
    </row>
    <row r="11" spans="3:11">
      <c r="C11" s="20"/>
      <c r="D11" s="29" t="s">
        <v>125</v>
      </c>
      <c r="E11" s="1" t="s">
        <v>43</v>
      </c>
      <c r="F11" s="35">
        <v>51030.796070728757</v>
      </c>
      <c r="G11" s="35">
        <v>24389.02789783978</v>
      </c>
      <c r="H11" s="35">
        <v>169849.77760314953</v>
      </c>
      <c r="I11" s="35">
        <v>4148.1288801573201</v>
      </c>
      <c r="J11" s="35" t="s">
        <v>159</v>
      </c>
      <c r="K11" s="35">
        <v>1060.6978388998418</v>
      </c>
    </row>
    <row r="12" spans="3:11">
      <c r="C12" s="20"/>
      <c r="D12" s="29" t="s">
        <v>126</v>
      </c>
      <c r="E12" s="1" t="s">
        <v>44</v>
      </c>
      <c r="F12" s="35">
        <v>59770.459259260926</v>
      </c>
      <c r="G12" s="35">
        <v>141449.12296296691</v>
      </c>
      <c r="H12" s="35">
        <v>257936.56000000724</v>
      </c>
      <c r="I12" s="35">
        <v>18736.026666667189</v>
      </c>
      <c r="J12" s="35" t="s">
        <v>159</v>
      </c>
      <c r="K12" s="35">
        <v>5414.4651851853359</v>
      </c>
    </row>
    <row r="13" spans="3:11">
      <c r="C13" s="26" t="s">
        <v>116</v>
      </c>
      <c r="D13" s="29" t="s">
        <v>127</v>
      </c>
      <c r="E13" s="1" t="s">
        <v>45</v>
      </c>
      <c r="F13" s="36">
        <v>626932.33082706877</v>
      </c>
      <c r="G13" s="35">
        <v>132459.43157894758</v>
      </c>
      <c r="H13" s="36">
        <v>1990959.3984962436</v>
      </c>
      <c r="I13" s="35">
        <v>15516.742857142883</v>
      </c>
      <c r="J13" s="35">
        <v>3749.5789473684267</v>
      </c>
      <c r="K13" s="35">
        <v>1219.0195488721827</v>
      </c>
    </row>
    <row r="14" spans="3:11">
      <c r="C14" s="26" t="s">
        <v>116</v>
      </c>
      <c r="D14" s="29" t="s">
        <v>128</v>
      </c>
      <c r="E14" s="1" t="s">
        <v>46</v>
      </c>
      <c r="F14" s="36">
        <v>472560.91954023374</v>
      </c>
      <c r="G14" s="35">
        <v>125117.6910344838</v>
      </c>
      <c r="H14" s="36">
        <v>1615749.8850574845</v>
      </c>
      <c r="I14" s="36">
        <v>27645.057471264594</v>
      </c>
      <c r="J14" s="35">
        <v>10621.857471264455</v>
      </c>
      <c r="K14" s="35">
        <v>3293.0473563218661</v>
      </c>
    </row>
    <row r="15" spans="3:11">
      <c r="C15" s="26" t="s">
        <v>116</v>
      </c>
      <c r="D15" s="29" t="s">
        <v>129</v>
      </c>
      <c r="E15" s="1" t="s">
        <v>47</v>
      </c>
      <c r="F15" s="35">
        <v>175580.68587731913</v>
      </c>
      <c r="G15" s="35">
        <v>45470.300713267025</v>
      </c>
      <c r="H15" s="36">
        <v>1054598.5734664826</v>
      </c>
      <c r="I15" s="36">
        <v>31518.402282453819</v>
      </c>
      <c r="J15" s="35">
        <v>4661.3877318117247</v>
      </c>
      <c r="K15" s="35">
        <v>6651.80256776038</v>
      </c>
    </row>
    <row r="16" spans="3:11">
      <c r="C16" s="24"/>
      <c r="D16" s="29" t="s">
        <v>130</v>
      </c>
      <c r="E16" s="1" t="s">
        <v>48</v>
      </c>
      <c r="F16" s="35">
        <v>127430.18687259326</v>
      </c>
      <c r="G16" s="35">
        <v>17877.136679537576</v>
      </c>
      <c r="H16" s="35">
        <v>224423.5768339881</v>
      </c>
      <c r="I16" s="35">
        <v>6751.4285714289099</v>
      </c>
      <c r="J16" s="35">
        <v>779.26177606181511</v>
      </c>
      <c r="K16" s="35">
        <v>755.77142857146646</v>
      </c>
    </row>
    <row r="17" spans="3:11">
      <c r="C17" s="26" t="s">
        <v>116</v>
      </c>
      <c r="D17" s="29" t="s">
        <v>131</v>
      </c>
      <c r="E17" s="1" t="s">
        <v>49</v>
      </c>
      <c r="F17" s="36">
        <v>244533.17838466086</v>
      </c>
      <c r="G17" s="35">
        <v>85585.402440441889</v>
      </c>
      <c r="H17" s="36">
        <v>1224054.8518303351</v>
      </c>
      <c r="I17" s="35">
        <v>5691.4445090064091</v>
      </c>
      <c r="J17" s="35">
        <v>3112.3690877396957</v>
      </c>
      <c r="K17" s="35">
        <v>559.27995351539982</v>
      </c>
    </row>
    <row r="18" spans="3:11">
      <c r="C18" s="26" t="s">
        <v>116</v>
      </c>
      <c r="D18" s="29" t="s">
        <v>132</v>
      </c>
      <c r="E18" s="1" t="s">
        <v>50</v>
      </c>
      <c r="F18" s="35">
        <v>339872.72036753839</v>
      </c>
      <c r="G18" s="35">
        <v>81460.612557428205</v>
      </c>
      <c r="H18" s="36">
        <v>2355043.1852986491</v>
      </c>
      <c r="I18" s="35">
        <v>12360.976416539193</v>
      </c>
      <c r="J18" s="35">
        <v>6142.1280245023672</v>
      </c>
      <c r="K18" s="35">
        <v>1077.3819295559085</v>
      </c>
    </row>
    <row r="19" spans="3:11">
      <c r="C19" s="26" t="s">
        <v>116</v>
      </c>
      <c r="D19" s="29" t="s">
        <v>133</v>
      </c>
      <c r="E19" s="1" t="s">
        <v>51</v>
      </c>
      <c r="F19" s="35">
        <v>130544.0760180995</v>
      </c>
      <c r="G19" s="35">
        <v>55636.228778280514</v>
      </c>
      <c r="H19" s="36">
        <v>522952.39819004503</v>
      </c>
      <c r="I19" s="36">
        <v>18118.371040723974</v>
      </c>
      <c r="J19" s="35">
        <v>4681.0606334841614</v>
      </c>
      <c r="K19" s="35">
        <v>2152.5907692307683</v>
      </c>
    </row>
    <row r="20" spans="3:11">
      <c r="C20" s="26" t="s">
        <v>116</v>
      </c>
      <c r="D20" s="29" t="s">
        <v>134</v>
      </c>
      <c r="E20" s="1" t="s">
        <v>52</v>
      </c>
      <c r="F20" s="35">
        <v>503399.60311284807</v>
      </c>
      <c r="G20" s="35">
        <v>59003.39922179078</v>
      </c>
      <c r="H20" s="36">
        <v>2041176.6536965289</v>
      </c>
      <c r="I20" s="35">
        <v>13576.529182879582</v>
      </c>
      <c r="J20" s="35">
        <v>4469.3463035020131</v>
      </c>
      <c r="K20" s="35">
        <v>1990.5603112840765</v>
      </c>
    </row>
    <row r="21" spans="3:11">
      <c r="C21" s="26" t="s">
        <v>116</v>
      </c>
      <c r="D21" s="29" t="s">
        <v>135</v>
      </c>
      <c r="E21" s="1" t="s">
        <v>53</v>
      </c>
      <c r="F21" s="35">
        <v>77579.393525604028</v>
      </c>
      <c r="G21" s="35">
        <v>24222.045438493464</v>
      </c>
      <c r="H21" s="36">
        <v>605219.07004120643</v>
      </c>
      <c r="I21" s="35">
        <v>8337.0128310771834</v>
      </c>
      <c r="J21" s="35">
        <v>2168.7411418481665</v>
      </c>
      <c r="K21" s="35">
        <v>1087.9293702177854</v>
      </c>
    </row>
    <row r="22" spans="3:11">
      <c r="C22" s="26" t="s">
        <v>116</v>
      </c>
      <c r="D22" s="29" t="s">
        <v>136</v>
      </c>
      <c r="E22" s="1" t="s">
        <v>54</v>
      </c>
      <c r="F22" s="35">
        <v>309170.06025973865</v>
      </c>
      <c r="G22" s="35">
        <v>57711.426493506195</v>
      </c>
      <c r="H22" s="36">
        <v>1050352.2077922025</v>
      </c>
      <c r="I22" s="35">
        <v>6819.1958441558081</v>
      </c>
      <c r="J22" s="35">
        <v>3532.9506493506315</v>
      </c>
      <c r="K22" s="35">
        <v>688.18493506493155</v>
      </c>
    </row>
    <row r="23" spans="3:11">
      <c r="C23" s="26" t="s">
        <v>116</v>
      </c>
      <c r="D23" s="29" t="s">
        <v>137</v>
      </c>
      <c r="E23" s="1" t="s">
        <v>55</v>
      </c>
      <c r="F23" s="35">
        <v>29907.49326478154</v>
      </c>
      <c r="G23" s="35">
        <v>3645.2071979434513</v>
      </c>
      <c r="H23" s="36">
        <v>148082.67352185116</v>
      </c>
      <c r="I23" s="35">
        <v>4205.7912596401102</v>
      </c>
      <c r="J23" s="35">
        <v>915.74005141388341</v>
      </c>
      <c r="K23" s="35">
        <v>834.70683804627402</v>
      </c>
    </row>
    <row r="24" spans="3:11">
      <c r="C24" s="26" t="s">
        <v>116</v>
      </c>
      <c r="D24" s="29" t="s">
        <v>138</v>
      </c>
      <c r="E24" s="1" t="s">
        <v>56</v>
      </c>
      <c r="F24" s="35">
        <v>159489.57852562354</v>
      </c>
      <c r="G24" s="35">
        <v>38698.63170485865</v>
      </c>
      <c r="H24" s="36">
        <v>594061.08699334739</v>
      </c>
      <c r="I24" s="35">
        <v>6882.4256766529215</v>
      </c>
      <c r="J24" s="35">
        <v>2003.4271586550115</v>
      </c>
      <c r="K24" s="35">
        <v>773.34096090216372</v>
      </c>
    </row>
    <row r="25" spans="3:11">
      <c r="C25" s="26" t="s">
        <v>116</v>
      </c>
      <c r="D25" s="29" t="s">
        <v>139</v>
      </c>
      <c r="E25" s="1" t="s">
        <v>57</v>
      </c>
      <c r="F25" s="35">
        <v>142850.14497928997</v>
      </c>
      <c r="G25" s="35">
        <v>20600.987781597189</v>
      </c>
      <c r="H25" s="36">
        <v>563136.23508975666</v>
      </c>
      <c r="I25" s="35">
        <v>3468.8207001199112</v>
      </c>
      <c r="J25" s="35">
        <v>2234.9527699991754</v>
      </c>
      <c r="K25" s="35">
        <v>412.84245606739893</v>
      </c>
    </row>
    <row r="26" spans="3:11">
      <c r="C26" s="26" t="s">
        <v>116</v>
      </c>
      <c r="D26" s="29" t="s">
        <v>140</v>
      </c>
      <c r="E26" s="1" t="s">
        <v>58</v>
      </c>
      <c r="F26" s="35">
        <v>166801.65146850527</v>
      </c>
      <c r="G26" s="35">
        <v>35097.845830419508</v>
      </c>
      <c r="H26" s="36">
        <v>734625.63248712488</v>
      </c>
      <c r="I26" s="35">
        <v>4713.3705454135334</v>
      </c>
      <c r="J26" s="35">
        <v>2147.5262533347</v>
      </c>
      <c r="K26" s="35">
        <v>444.47537635591226</v>
      </c>
    </row>
    <row r="27" spans="3:11">
      <c r="C27" s="26" t="s">
        <v>116</v>
      </c>
      <c r="D27" s="29" t="s">
        <v>141</v>
      </c>
      <c r="E27" s="1" t="s">
        <v>59</v>
      </c>
      <c r="F27" s="35">
        <v>95496.167987123656</v>
      </c>
      <c r="G27" s="35">
        <v>32747.591056921981</v>
      </c>
      <c r="H27" s="36">
        <v>656877.42145162181</v>
      </c>
      <c r="I27" s="35">
        <v>8703.4074214857937</v>
      </c>
      <c r="J27" s="35">
        <v>2715.9484675551039</v>
      </c>
      <c r="K27" s="35">
        <v>1231.0510176716232</v>
      </c>
    </row>
    <row r="28" spans="3:11">
      <c r="C28" s="26" t="s">
        <v>116</v>
      </c>
      <c r="D28" s="29" t="s">
        <v>142</v>
      </c>
      <c r="E28" s="1" t="s">
        <v>60</v>
      </c>
      <c r="F28" s="35">
        <v>171236.07291366841</v>
      </c>
      <c r="G28" s="35">
        <v>53547.720454865273</v>
      </c>
      <c r="H28" s="36">
        <v>709612.21748278069</v>
      </c>
      <c r="I28" s="35">
        <v>5128.4110985730777</v>
      </c>
      <c r="J28" s="35">
        <v>2082.6983588326102</v>
      </c>
      <c r="K28" s="35">
        <v>631.10477033464383</v>
      </c>
    </row>
    <row r="29" spans="3:11">
      <c r="C29" s="26" t="s">
        <v>116</v>
      </c>
      <c r="D29" s="29" t="s">
        <v>143</v>
      </c>
      <c r="E29" s="1" t="s">
        <v>61</v>
      </c>
      <c r="F29" s="35">
        <v>152042.39958953724</v>
      </c>
      <c r="G29" s="35">
        <v>30573.996509262488</v>
      </c>
      <c r="H29" s="36">
        <v>771662.70040325366</v>
      </c>
      <c r="I29" s="35">
        <v>5918.4080501207764</v>
      </c>
      <c r="J29" s="35">
        <v>2638.3152777706273</v>
      </c>
      <c r="K29" s="35">
        <v>770.74112921085111</v>
      </c>
    </row>
    <row r="30" spans="3:11">
      <c r="C30" s="26" t="s">
        <v>116</v>
      </c>
      <c r="D30" s="29" t="s">
        <v>144</v>
      </c>
      <c r="E30" s="1" t="s">
        <v>62</v>
      </c>
      <c r="F30" s="35">
        <v>219198.97594253489</v>
      </c>
      <c r="G30" s="35">
        <v>82636.841382221741</v>
      </c>
      <c r="H30" s="36">
        <v>861962.55016638036</v>
      </c>
      <c r="I30" s="35">
        <v>4984.4047723716922</v>
      </c>
      <c r="J30" s="35">
        <v>2356.1320042433053</v>
      </c>
      <c r="K30" s="35">
        <v>563.74448434776525</v>
      </c>
    </row>
    <row r="31" spans="3:11">
      <c r="C31" s="26" t="s">
        <v>116</v>
      </c>
      <c r="D31" s="29" t="s">
        <v>145</v>
      </c>
      <c r="E31" s="1" t="s">
        <v>63</v>
      </c>
      <c r="F31" s="35">
        <v>381442.63374705234</v>
      </c>
      <c r="G31" s="35">
        <v>123842.37642964357</v>
      </c>
      <c r="H31" s="36">
        <v>1129275.2358479148</v>
      </c>
      <c r="I31" s="35">
        <v>1340.698294694341</v>
      </c>
      <c r="J31" s="35">
        <v>1306.4604575052165</v>
      </c>
      <c r="K31" s="35">
        <v>123.80885396647837</v>
      </c>
    </row>
    <row r="32" spans="3:11">
      <c r="C32" s="20"/>
      <c r="D32" s="29" t="s">
        <v>146</v>
      </c>
      <c r="E32" s="1" t="s">
        <v>64</v>
      </c>
      <c r="F32" s="35">
        <v>69049.003962299597</v>
      </c>
      <c r="G32" s="35">
        <v>11915.493258888995</v>
      </c>
      <c r="H32" s="35">
        <v>51405.406563771227</v>
      </c>
      <c r="I32" s="35">
        <v>3106.750919131141</v>
      </c>
      <c r="J32" s="35">
        <v>683.16132954584282</v>
      </c>
      <c r="K32" s="35">
        <v>448.73524005110835</v>
      </c>
    </row>
    <row r="33" spans="3:11">
      <c r="C33" s="26" t="s">
        <v>116</v>
      </c>
      <c r="D33" s="29" t="s">
        <v>147</v>
      </c>
      <c r="E33" s="1" t="s">
        <v>65</v>
      </c>
      <c r="F33" s="35">
        <v>213114.67181846238</v>
      </c>
      <c r="G33" s="35">
        <v>77682.655849495073</v>
      </c>
      <c r="H33" s="36">
        <v>1027819.6121433144</v>
      </c>
      <c r="I33" s="35">
        <v>5773.3238592297839</v>
      </c>
      <c r="J33" s="35">
        <v>2801.6498269261187</v>
      </c>
      <c r="K33" s="35">
        <v>689.51556497695356</v>
      </c>
    </row>
    <row r="34" spans="3:11">
      <c r="D34" s="27"/>
    </row>
    <row r="35" spans="3:11">
      <c r="D35" s="27"/>
    </row>
    <row r="36" spans="3:11">
      <c r="D36" s="27"/>
      <c r="E36" s="21"/>
      <c r="F36" s="19" t="s">
        <v>8</v>
      </c>
      <c r="G36" s="19" t="s">
        <v>9</v>
      </c>
      <c r="H36" s="19" t="s">
        <v>10</v>
      </c>
      <c r="I36" s="19" t="s">
        <v>11</v>
      </c>
      <c r="J36" s="19" t="s">
        <v>12</v>
      </c>
      <c r="K36" s="19" t="s">
        <v>13</v>
      </c>
    </row>
    <row r="37" spans="3:11">
      <c r="D37" s="27"/>
      <c r="E37" s="22" t="s">
        <v>32</v>
      </c>
      <c r="F37" s="23">
        <v>2125</v>
      </c>
      <c r="G37" s="23">
        <v>1000</v>
      </c>
      <c r="H37" s="23">
        <v>1125</v>
      </c>
      <c r="I37" s="23">
        <v>30</v>
      </c>
      <c r="J37" s="23">
        <v>69.75</v>
      </c>
      <c r="K37" s="23">
        <v>18</v>
      </c>
    </row>
    <row r="38" spans="3:11">
      <c r="D38" s="27"/>
      <c r="E38" s="24" t="s">
        <v>33</v>
      </c>
      <c r="F38" s="23">
        <v>425000</v>
      </c>
      <c r="G38" s="23">
        <v>200000</v>
      </c>
      <c r="H38" s="23">
        <v>225000</v>
      </c>
      <c r="I38" s="23">
        <v>20000</v>
      </c>
      <c r="J38" s="23">
        <v>46500</v>
      </c>
      <c r="K38" s="23">
        <v>12000</v>
      </c>
    </row>
    <row r="39" spans="3:11">
      <c r="D39" s="27"/>
    </row>
    <row r="40" spans="3:11">
      <c r="D40" s="27"/>
    </row>
    <row r="41" spans="3:11">
      <c r="D41" s="27"/>
    </row>
    <row r="42" spans="3:11">
      <c r="C42" s="28"/>
      <c r="D42" s="27"/>
    </row>
    <row r="43" spans="3:11">
      <c r="D43" s="27"/>
    </row>
    <row r="44" spans="3:11">
      <c r="D44" s="27"/>
    </row>
    <row r="45" spans="3:11">
      <c r="C45" s="28"/>
      <c r="D45" s="27"/>
    </row>
    <row r="46" spans="3:11">
      <c r="D46" s="27"/>
    </row>
    <row r="47" spans="3:11">
      <c r="D47" s="27"/>
    </row>
    <row r="48" spans="3:11">
      <c r="D48" s="27"/>
    </row>
    <row r="49" spans="4:4">
      <c r="D49" s="27"/>
    </row>
    <row r="50" spans="4:4">
      <c r="D50" s="27"/>
    </row>
    <row r="51" spans="4:4">
      <c r="D51" s="27"/>
    </row>
    <row r="52" spans="4:4">
      <c r="D52" s="27"/>
    </row>
    <row r="53" spans="4:4">
      <c r="D53" s="27"/>
    </row>
  </sheetData>
  <mergeCells count="1">
    <mergeCell ref="F1:K1"/>
  </mergeCells>
  <conditionalFormatting sqref="C2">
    <cfRule type="containsText" dxfId="12" priority="3" operator="containsText" text="&gt; ULOQ">
      <formula>NOT(ISERROR(SEARCH("&gt; ULOQ",C2)))</formula>
    </cfRule>
    <cfRule type="containsText" dxfId="11" priority="4" operator="containsText" text="&lt; LLOQ">
      <formula>NOT(ISERROR(SEARCH("&lt; LLOQ",C2)))</formula>
    </cfRule>
    <cfRule type="cellIs" dxfId="10" priority="5" operator="equal">
      <formula>"&gt; ULOQ"</formula>
    </cfRule>
    <cfRule type="containsText" dxfId="9" priority="6" operator="containsText" text="&lt; LLOQ">
      <formula>NOT(ISERROR(SEARCH("&lt; LLOQ",C2)))</formula>
    </cfRule>
  </conditionalFormatting>
  <conditionalFormatting sqref="D3:D33">
    <cfRule type="duplicateValues" dxfId="8" priority="2"/>
  </conditionalFormatting>
  <conditionalFormatting sqref="E2">
    <cfRule type="containsText" dxfId="7" priority="11" operator="containsText" text="&gt; ULOQ">
      <formula>NOT(ISERROR(SEARCH("&gt; ULOQ",E2)))</formula>
    </cfRule>
    <cfRule type="containsText" dxfId="6" priority="12" operator="containsText" text="&lt; LLOQ">
      <formula>NOT(ISERROR(SEARCH("&lt; LLOQ",E2)))</formula>
    </cfRule>
    <cfRule type="cellIs" dxfId="5" priority="13" operator="equal">
      <formula>"&gt; ULOQ"</formula>
    </cfRule>
    <cfRule type="containsText" dxfId="4" priority="14" operator="containsText" text="&lt; LLOQ">
      <formula>NOT(ISERROR(SEARCH("&lt; LLOQ",E2)))</formula>
    </cfRule>
  </conditionalFormatting>
  <conditionalFormatting sqref="E3:K33 F2:K2">
    <cfRule type="cellIs" dxfId="3" priority="18" operator="equal">
      <formula>0</formula>
    </cfRule>
  </conditionalFormatting>
  <conditionalFormatting sqref="F3:K33">
    <cfRule type="containsText" dxfId="2" priority="15" operator="containsText" text="&gt; ULOQ">
      <formula>NOT(ISERROR(SEARCH("&gt; ULOQ",F3)))</formula>
    </cfRule>
    <cfRule type="containsText" dxfId="1" priority="16" operator="containsText" text="&lt; LLOQ">
      <formula>NOT(ISERROR(SEARCH("&lt; LLOQ",F3)))</formula>
    </cfRule>
  </conditionalFormatting>
  <conditionalFormatting sqref="F36:K36">
    <cfRule type="cellIs" dxfId="0" priority="17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80F9-8428-4268-AB81-A81951FE5A24}">
  <sheetPr codeName="Feuil4">
    <tabColor rgb="FF00B050"/>
  </sheetPr>
  <dimension ref="A3:R20"/>
  <sheetViews>
    <sheetView topLeftCell="C6" zoomScale="90" zoomScaleNormal="90" workbookViewId="0">
      <selection activeCell="Q23" sqref="Q23"/>
    </sheetView>
  </sheetViews>
  <sheetFormatPr baseColWidth="10" defaultRowHeight="14.4"/>
  <cols>
    <col min="1" max="1" width="2.6640625" style="18" customWidth="1"/>
    <col min="2" max="2" width="14.6640625" customWidth="1"/>
    <col min="3" max="4" width="19.33203125" customWidth="1"/>
    <col min="5" max="5" width="9.109375" customWidth="1"/>
    <col min="6" max="6" width="19.33203125" customWidth="1"/>
    <col min="7" max="7" width="9.109375" customWidth="1"/>
    <col min="8" max="9" width="19.33203125" customWidth="1"/>
    <col min="10" max="10" width="9.109375" customWidth="1"/>
    <col min="11" max="11" width="19.33203125" customWidth="1"/>
    <col min="12" max="12" width="9.109375" customWidth="1"/>
    <col min="13" max="14" width="19.33203125" customWidth="1"/>
    <col min="15" max="15" width="9.109375" customWidth="1"/>
    <col min="16" max="16" width="19.33203125" customWidth="1"/>
    <col min="17" max="17" width="9.109375" customWidth="1"/>
    <col min="18" max="18" width="4" style="18" customWidth="1"/>
  </cols>
  <sheetData>
    <row r="3" spans="2:17" s="18" customFormat="1" ht="15" thickBot="1"/>
    <row r="4" spans="2:17" ht="15" thickTop="1">
      <c r="B4" s="38" t="s">
        <v>113</v>
      </c>
      <c r="C4" s="40" t="s">
        <v>0</v>
      </c>
      <c r="D4" s="41"/>
      <c r="E4" s="41"/>
      <c r="F4" s="41"/>
      <c r="G4" s="42"/>
      <c r="H4" s="43" t="s">
        <v>1</v>
      </c>
      <c r="I4" s="41"/>
      <c r="J4" s="41"/>
      <c r="K4" s="41"/>
      <c r="L4" s="44"/>
      <c r="M4" s="40" t="s">
        <v>2</v>
      </c>
      <c r="N4" s="41"/>
      <c r="O4" s="41"/>
      <c r="P4" s="41"/>
      <c r="Q4" s="42"/>
    </row>
    <row r="5" spans="2:17">
      <c r="B5" s="38"/>
      <c r="C5" s="45" t="s">
        <v>3</v>
      </c>
      <c r="D5" s="46" t="s">
        <v>4</v>
      </c>
      <c r="E5" s="46"/>
      <c r="F5" s="46" t="s">
        <v>5</v>
      </c>
      <c r="G5" s="47"/>
      <c r="H5" s="48" t="s">
        <v>3</v>
      </c>
      <c r="I5" s="46" t="s">
        <v>4</v>
      </c>
      <c r="J5" s="46"/>
      <c r="K5" s="46" t="s">
        <v>5</v>
      </c>
      <c r="L5" s="49"/>
      <c r="M5" s="45" t="s">
        <v>3</v>
      </c>
      <c r="N5" s="46" t="s">
        <v>4</v>
      </c>
      <c r="O5" s="46"/>
      <c r="P5" s="46" t="s">
        <v>5</v>
      </c>
      <c r="Q5" s="47"/>
    </row>
    <row r="6" spans="2:17" ht="28.8">
      <c r="B6" s="39"/>
      <c r="C6" s="45"/>
      <c r="D6" s="4" t="s">
        <v>6</v>
      </c>
      <c r="E6" s="1" t="s">
        <v>7</v>
      </c>
      <c r="F6" s="4" t="s">
        <v>6</v>
      </c>
      <c r="G6" s="2" t="s">
        <v>7</v>
      </c>
      <c r="H6" s="48"/>
      <c r="I6" s="4" t="s">
        <v>6</v>
      </c>
      <c r="J6" s="1" t="s">
        <v>7</v>
      </c>
      <c r="K6" s="4" t="s">
        <v>6</v>
      </c>
      <c r="L6" s="3" t="s">
        <v>7</v>
      </c>
      <c r="M6" s="45"/>
      <c r="N6" s="4" t="s">
        <v>6</v>
      </c>
      <c r="O6" s="1" t="s">
        <v>7</v>
      </c>
      <c r="P6" s="4" t="s">
        <v>6</v>
      </c>
      <c r="Q6" s="2" t="s">
        <v>7</v>
      </c>
    </row>
    <row r="7" spans="2:17">
      <c r="B7" s="34" t="s">
        <v>150</v>
      </c>
      <c r="C7" s="6">
        <v>17000</v>
      </c>
      <c r="D7" s="7">
        <v>18400.277999999998</v>
      </c>
      <c r="E7" s="1">
        <v>8.1999999999999993</v>
      </c>
      <c r="F7" s="7">
        <v>16949.839</v>
      </c>
      <c r="G7" s="2">
        <v>-0.3</v>
      </c>
      <c r="H7" s="8">
        <v>170000</v>
      </c>
      <c r="I7" s="7">
        <v>172460.777</v>
      </c>
      <c r="J7" s="1">
        <v>1.4</v>
      </c>
      <c r="K7" s="7">
        <v>167258.45800000001</v>
      </c>
      <c r="L7" s="3">
        <v>-1.6</v>
      </c>
      <c r="M7" s="6">
        <v>340000</v>
      </c>
      <c r="N7" s="7">
        <v>348449.5</v>
      </c>
      <c r="O7" s="1">
        <v>2.5</v>
      </c>
      <c r="P7" s="7">
        <v>338158.45500000002</v>
      </c>
      <c r="Q7" s="2">
        <v>-0.5</v>
      </c>
    </row>
    <row r="8" spans="2:17">
      <c r="B8" s="34" t="s">
        <v>151</v>
      </c>
      <c r="C8" s="6">
        <v>8000</v>
      </c>
      <c r="D8" s="7">
        <v>8416.9889999999996</v>
      </c>
      <c r="E8" s="1">
        <v>5.2</v>
      </c>
      <c r="F8" s="7">
        <v>8028.5190000000002</v>
      </c>
      <c r="G8" s="2">
        <v>0.4</v>
      </c>
      <c r="H8" s="8">
        <v>80000</v>
      </c>
      <c r="I8" s="7">
        <v>87094.126999999993</v>
      </c>
      <c r="J8" s="1">
        <v>8.9</v>
      </c>
      <c r="K8" s="7">
        <v>84194.134000000005</v>
      </c>
      <c r="L8" s="3">
        <v>5.2</v>
      </c>
      <c r="M8" s="6">
        <v>160000</v>
      </c>
      <c r="N8" s="7">
        <v>164016.84400000001</v>
      </c>
      <c r="O8" s="1">
        <v>2.5</v>
      </c>
      <c r="P8" s="7">
        <v>176452.55100000001</v>
      </c>
      <c r="Q8" s="2">
        <v>10.3</v>
      </c>
    </row>
    <row r="9" spans="2:17">
      <c r="B9" s="34" t="s">
        <v>152</v>
      </c>
      <c r="C9" s="6">
        <v>9000</v>
      </c>
      <c r="D9" s="7">
        <v>8260.4619999999995</v>
      </c>
      <c r="E9" s="1">
        <v>-8.1999999999999993</v>
      </c>
      <c r="F9" s="7">
        <v>8805.1630000000005</v>
      </c>
      <c r="G9" s="2">
        <v>-2.2000000000000002</v>
      </c>
      <c r="H9" s="8">
        <v>90000</v>
      </c>
      <c r="I9" s="7">
        <v>94039.539000000004</v>
      </c>
      <c r="J9" s="1">
        <v>4.5</v>
      </c>
      <c r="K9" s="7">
        <v>96783.259000000005</v>
      </c>
      <c r="L9" s="3">
        <v>7.5</v>
      </c>
      <c r="M9" s="6">
        <v>180000</v>
      </c>
      <c r="N9" s="7">
        <v>183401.845</v>
      </c>
      <c r="O9" s="1">
        <v>1.9</v>
      </c>
      <c r="P9" s="7">
        <v>187043.10500000001</v>
      </c>
      <c r="Q9" s="2">
        <v>3.9</v>
      </c>
    </row>
    <row r="10" spans="2:17">
      <c r="B10" s="34" t="s">
        <v>153</v>
      </c>
      <c r="C10" s="6">
        <v>800</v>
      </c>
      <c r="D10" s="7">
        <v>795.5</v>
      </c>
      <c r="E10" s="1">
        <v>-0.6</v>
      </c>
      <c r="F10" s="7">
        <v>878.89499999999998</v>
      </c>
      <c r="G10" s="2">
        <v>9.9</v>
      </c>
      <c r="H10" s="8">
        <v>8000</v>
      </c>
      <c r="I10" s="7">
        <v>7991.2359999999999</v>
      </c>
      <c r="J10" s="1">
        <v>-0.1</v>
      </c>
      <c r="K10" s="7">
        <v>8145.3540000000003</v>
      </c>
      <c r="L10" s="3">
        <v>1.8</v>
      </c>
      <c r="M10" s="6">
        <v>16000</v>
      </c>
      <c r="N10" s="7">
        <v>17007.535</v>
      </c>
      <c r="O10" s="1">
        <v>6.3</v>
      </c>
      <c r="P10" s="7">
        <v>17317.419000000002</v>
      </c>
      <c r="Q10" s="2">
        <v>8.1999999999999993</v>
      </c>
    </row>
    <row r="11" spans="2:17">
      <c r="B11" s="34" t="s">
        <v>154</v>
      </c>
      <c r="C11" s="6">
        <v>1860</v>
      </c>
      <c r="D11" s="7">
        <v>2060.2379999999998</v>
      </c>
      <c r="E11" s="1">
        <v>10.8</v>
      </c>
      <c r="F11" s="7">
        <v>2083.7289999999998</v>
      </c>
      <c r="G11" s="2">
        <v>12</v>
      </c>
      <c r="H11" s="8">
        <v>18600</v>
      </c>
      <c r="I11" s="7">
        <v>18939.366999999998</v>
      </c>
      <c r="J11" s="1">
        <v>1.8</v>
      </c>
      <c r="K11" s="7">
        <v>19100.3</v>
      </c>
      <c r="L11" s="3">
        <v>2.7</v>
      </c>
      <c r="M11" s="6">
        <v>37200</v>
      </c>
      <c r="N11" s="7">
        <v>38166.332000000002</v>
      </c>
      <c r="O11" s="1">
        <v>2.6</v>
      </c>
      <c r="P11" s="7">
        <v>37667.949000000001</v>
      </c>
      <c r="Q11" s="2">
        <v>1.3</v>
      </c>
    </row>
    <row r="12" spans="2:17" ht="15" thickBot="1">
      <c r="B12" s="34" t="s">
        <v>155</v>
      </c>
      <c r="C12" s="9">
        <v>480</v>
      </c>
      <c r="D12" s="10">
        <v>523.077</v>
      </c>
      <c r="E12" s="11">
        <v>9</v>
      </c>
      <c r="F12" s="10">
        <v>531.53499999999997</v>
      </c>
      <c r="G12" s="12">
        <v>10.7</v>
      </c>
      <c r="H12" s="13">
        <v>4800</v>
      </c>
      <c r="I12" s="10">
        <v>4846.6369999999997</v>
      </c>
      <c r="J12" s="11">
        <v>1</v>
      </c>
      <c r="K12" s="10">
        <v>4771.4049999999997</v>
      </c>
      <c r="L12" s="14">
        <v>-0.6</v>
      </c>
      <c r="M12" s="9">
        <v>9600</v>
      </c>
      <c r="N12" s="10">
        <v>10639.753000000001</v>
      </c>
      <c r="O12" s="11">
        <v>10.8</v>
      </c>
      <c r="P12" s="10">
        <v>10457.687</v>
      </c>
      <c r="Q12" s="12">
        <v>8.9</v>
      </c>
    </row>
    <row r="13" spans="2:17" s="18" customFormat="1" ht="15.6" thickTop="1" thickBot="1"/>
    <row r="14" spans="2:17" ht="15" thickTop="1">
      <c r="B14" s="38" t="s">
        <v>114</v>
      </c>
      <c r="C14" s="40" t="s">
        <v>0</v>
      </c>
      <c r="D14" s="41"/>
      <c r="E14" s="41"/>
      <c r="F14" s="41"/>
      <c r="G14" s="42"/>
      <c r="H14" s="43" t="s">
        <v>1</v>
      </c>
      <c r="I14" s="41"/>
      <c r="J14" s="41"/>
      <c r="K14" s="41"/>
      <c r="L14" s="44"/>
      <c r="M14" s="40" t="s">
        <v>2</v>
      </c>
      <c r="N14" s="41"/>
      <c r="O14" s="41"/>
      <c r="P14" s="41"/>
      <c r="Q14" s="42"/>
    </row>
    <row r="15" spans="2:17">
      <c r="B15" s="38"/>
      <c r="C15" s="45" t="s">
        <v>3</v>
      </c>
      <c r="D15" s="46" t="s">
        <v>4</v>
      </c>
      <c r="E15" s="46"/>
      <c r="F15" s="46" t="s">
        <v>5</v>
      </c>
      <c r="G15" s="47"/>
      <c r="H15" s="48" t="s">
        <v>3</v>
      </c>
      <c r="I15" s="46" t="s">
        <v>4</v>
      </c>
      <c r="J15" s="46"/>
      <c r="K15" s="46" t="s">
        <v>5</v>
      </c>
      <c r="L15" s="49"/>
      <c r="M15" s="45" t="s">
        <v>3</v>
      </c>
      <c r="N15" s="46" t="s">
        <v>4</v>
      </c>
      <c r="O15" s="46"/>
      <c r="P15" s="46" t="s">
        <v>5</v>
      </c>
      <c r="Q15" s="47"/>
    </row>
    <row r="16" spans="2:17" ht="28.8">
      <c r="B16" s="39"/>
      <c r="C16" s="45"/>
      <c r="D16" s="4" t="s">
        <v>6</v>
      </c>
      <c r="E16" s="1" t="s">
        <v>7</v>
      </c>
      <c r="F16" s="4" t="s">
        <v>6</v>
      </c>
      <c r="G16" s="2" t="s">
        <v>7</v>
      </c>
      <c r="H16" s="48"/>
      <c r="I16" s="4" t="s">
        <v>6</v>
      </c>
      <c r="J16" s="1" t="s">
        <v>7</v>
      </c>
      <c r="K16" s="4" t="s">
        <v>6</v>
      </c>
      <c r="L16" s="3" t="s">
        <v>7</v>
      </c>
      <c r="M16" s="45"/>
      <c r="N16" s="4" t="s">
        <v>6</v>
      </c>
      <c r="O16" s="1" t="s">
        <v>7</v>
      </c>
      <c r="P16" s="4" t="s">
        <v>6</v>
      </c>
      <c r="Q16" s="2" t="s">
        <v>7</v>
      </c>
    </row>
    <row r="17" spans="2:17">
      <c r="B17" s="5" t="s">
        <v>149</v>
      </c>
      <c r="C17" s="6" t="s">
        <v>70</v>
      </c>
      <c r="D17" s="7" t="s">
        <v>71</v>
      </c>
      <c r="E17" s="1" t="s">
        <v>72</v>
      </c>
      <c r="F17" s="7" t="s">
        <v>79</v>
      </c>
      <c r="G17" s="2" t="s">
        <v>80</v>
      </c>
      <c r="H17" s="8" t="s">
        <v>73</v>
      </c>
      <c r="I17" s="7" t="s">
        <v>74</v>
      </c>
      <c r="J17" s="1" t="s">
        <v>75</v>
      </c>
      <c r="K17" s="7" t="s">
        <v>81</v>
      </c>
      <c r="L17" s="3" t="s">
        <v>82</v>
      </c>
      <c r="M17" s="6" t="s">
        <v>76</v>
      </c>
      <c r="N17" s="7" t="s">
        <v>77</v>
      </c>
      <c r="O17" s="1" t="s">
        <v>78</v>
      </c>
      <c r="P17" s="7" t="s">
        <v>83</v>
      </c>
      <c r="Q17" s="2" t="s">
        <v>84</v>
      </c>
    </row>
    <row r="18" spans="2:17">
      <c r="B18" s="5" t="s">
        <v>156</v>
      </c>
      <c r="C18" s="6" t="s">
        <v>85</v>
      </c>
      <c r="D18" s="7" t="s">
        <v>86</v>
      </c>
      <c r="E18" s="1" t="s">
        <v>87</v>
      </c>
      <c r="F18" s="7" t="s">
        <v>94</v>
      </c>
      <c r="G18" s="2" t="s">
        <v>95</v>
      </c>
      <c r="H18" s="8" t="s">
        <v>88</v>
      </c>
      <c r="I18" s="7" t="s">
        <v>89</v>
      </c>
      <c r="J18" s="1" t="s">
        <v>90</v>
      </c>
      <c r="K18" s="7" t="s">
        <v>96</v>
      </c>
      <c r="L18" s="3" t="s">
        <v>97</v>
      </c>
      <c r="M18" s="6" t="s">
        <v>91</v>
      </c>
      <c r="N18" s="7" t="s">
        <v>92</v>
      </c>
      <c r="O18" s="1" t="s">
        <v>93</v>
      </c>
      <c r="P18" s="7" t="s">
        <v>98</v>
      </c>
      <c r="Q18" s="2" t="s">
        <v>99</v>
      </c>
    </row>
    <row r="19" spans="2:17" ht="15" thickBot="1">
      <c r="B19" s="5" t="s">
        <v>157</v>
      </c>
      <c r="C19" s="9" t="s">
        <v>100</v>
      </c>
      <c r="D19" s="10" t="s">
        <v>101</v>
      </c>
      <c r="E19" s="11" t="s">
        <v>102</v>
      </c>
      <c r="F19" s="10" t="s">
        <v>108</v>
      </c>
      <c r="G19" s="12" t="s">
        <v>109</v>
      </c>
      <c r="H19" s="13" t="s">
        <v>103</v>
      </c>
      <c r="I19" s="10" t="s">
        <v>104</v>
      </c>
      <c r="J19" s="11" t="s">
        <v>105</v>
      </c>
      <c r="K19" s="10" t="s">
        <v>110</v>
      </c>
      <c r="L19" s="14" t="s">
        <v>93</v>
      </c>
      <c r="M19" s="9" t="s">
        <v>106</v>
      </c>
      <c r="N19" s="10" t="s">
        <v>107</v>
      </c>
      <c r="O19" s="11" t="s">
        <v>69</v>
      </c>
      <c r="P19" s="10" t="s">
        <v>111</v>
      </c>
      <c r="Q19" s="12" t="s">
        <v>112</v>
      </c>
    </row>
    <row r="20" spans="2:17" s="18" customFormat="1" ht="15" thickTop="1"/>
  </sheetData>
  <mergeCells count="26">
    <mergeCell ref="C4:G4"/>
    <mergeCell ref="H4:L4"/>
    <mergeCell ref="M4:Q4"/>
    <mergeCell ref="C5:C6"/>
    <mergeCell ref="D5:E5"/>
    <mergeCell ref="F5:G5"/>
    <mergeCell ref="H5:H6"/>
    <mergeCell ref="I5:J5"/>
    <mergeCell ref="K5:L5"/>
    <mergeCell ref="M5:M6"/>
    <mergeCell ref="B4:B6"/>
    <mergeCell ref="B14:B16"/>
    <mergeCell ref="C14:G14"/>
    <mergeCell ref="H14:L14"/>
    <mergeCell ref="M14:Q14"/>
    <mergeCell ref="C15:C16"/>
    <mergeCell ref="D15:E15"/>
    <mergeCell ref="F15:G15"/>
    <mergeCell ref="H15:H16"/>
    <mergeCell ref="I15:J15"/>
    <mergeCell ref="K15:L15"/>
    <mergeCell ref="M15:M16"/>
    <mergeCell ref="N15:O15"/>
    <mergeCell ref="P15:Q15"/>
    <mergeCell ref="N5:O5"/>
    <mergeCell ref="P5:Q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4C34-0985-4777-89C8-BD70C0D8F73F}">
  <sheetPr codeName="Feuil5">
    <tabColor rgb="FF00B050"/>
  </sheetPr>
  <dimension ref="B3:N21"/>
  <sheetViews>
    <sheetView workbookViewId="0">
      <selection activeCell="R16" sqref="R16"/>
    </sheetView>
  </sheetViews>
  <sheetFormatPr baseColWidth="10" defaultRowHeight="14.4"/>
  <cols>
    <col min="2" max="14" width="14.109375" customWidth="1"/>
  </cols>
  <sheetData>
    <row r="3" spans="2:14" ht="32.25" customHeight="1">
      <c r="B3" s="1" t="s">
        <v>113</v>
      </c>
      <c r="C3" s="15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</row>
    <row r="4" spans="2:14" ht="32.25" customHeight="1">
      <c r="B4" s="15" t="s">
        <v>14</v>
      </c>
      <c r="C4" s="16" t="s">
        <v>15</v>
      </c>
      <c r="D4" s="16" t="s">
        <v>16</v>
      </c>
      <c r="E4" s="16" t="s">
        <v>17</v>
      </c>
      <c r="F4" s="16" t="s">
        <v>18</v>
      </c>
      <c r="G4" s="16" t="s">
        <v>19</v>
      </c>
      <c r="H4" s="16" t="s">
        <v>20</v>
      </c>
      <c r="I4" s="16" t="s">
        <v>21</v>
      </c>
      <c r="J4" s="17" t="s">
        <v>22</v>
      </c>
      <c r="K4" s="17" t="s">
        <v>23</v>
      </c>
      <c r="L4" s="17" t="s">
        <v>24</v>
      </c>
      <c r="M4" s="1"/>
      <c r="N4" s="1"/>
    </row>
    <row r="5" spans="2:14" ht="32.25" customHeight="1">
      <c r="B5" s="15" t="s">
        <v>25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  <c r="M5" s="1" t="s">
        <v>45</v>
      </c>
      <c r="N5" s="1" t="s">
        <v>46</v>
      </c>
    </row>
    <row r="6" spans="2:14" ht="32.25" customHeight="1">
      <c r="B6" s="15" t="s">
        <v>26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</row>
    <row r="7" spans="2:14" ht="32.25" customHeight="1">
      <c r="B7" s="15" t="s">
        <v>27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65</v>
      </c>
      <c r="J7" s="17" t="s">
        <v>66</v>
      </c>
      <c r="K7" s="17" t="s">
        <v>67</v>
      </c>
      <c r="L7" s="17" t="s">
        <v>68</v>
      </c>
      <c r="M7" s="1"/>
      <c r="N7" s="1"/>
    </row>
    <row r="8" spans="2:14" ht="32.25" customHeight="1">
      <c r="B8" s="15" t="s">
        <v>28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32.25" customHeight="1">
      <c r="B9" s="15" t="s">
        <v>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32.25" customHeight="1">
      <c r="B10" s="15" t="s">
        <v>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32.25" customHeight="1">
      <c r="B11" s="15" t="s">
        <v>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32.25" customHeight="1"/>
    <row r="13" spans="2:14" ht="32.25" customHeight="1">
      <c r="B13" s="1" t="s">
        <v>114</v>
      </c>
      <c r="C13" s="15">
        <v>1</v>
      </c>
      <c r="D13" s="15">
        <v>2</v>
      </c>
      <c r="E13" s="15">
        <v>3</v>
      </c>
      <c r="F13" s="15">
        <v>4</v>
      </c>
      <c r="G13" s="15">
        <v>5</v>
      </c>
      <c r="H13" s="15">
        <v>6</v>
      </c>
      <c r="I13" s="15">
        <v>7</v>
      </c>
      <c r="J13" s="15">
        <v>8</v>
      </c>
      <c r="K13" s="15">
        <v>9</v>
      </c>
      <c r="L13" s="15">
        <v>10</v>
      </c>
      <c r="M13" s="15">
        <v>11</v>
      </c>
      <c r="N13" s="15">
        <v>12</v>
      </c>
    </row>
    <row r="14" spans="2:14" ht="32.25" customHeight="1">
      <c r="B14" s="15" t="s">
        <v>14</v>
      </c>
      <c r="C14" s="16" t="s">
        <v>15</v>
      </c>
      <c r="D14" s="16" t="s">
        <v>16</v>
      </c>
      <c r="E14" s="16" t="s">
        <v>17</v>
      </c>
      <c r="F14" s="16" t="s">
        <v>18</v>
      </c>
      <c r="G14" s="16" t="s">
        <v>19</v>
      </c>
      <c r="H14" s="16" t="s">
        <v>20</v>
      </c>
      <c r="I14" s="16" t="s">
        <v>21</v>
      </c>
      <c r="J14" s="17" t="s">
        <v>22</v>
      </c>
      <c r="K14" s="17" t="s">
        <v>23</v>
      </c>
      <c r="L14" s="17" t="s">
        <v>24</v>
      </c>
      <c r="M14" s="1"/>
      <c r="N14" s="1"/>
    </row>
    <row r="15" spans="2:14" ht="32.25" customHeight="1">
      <c r="B15" s="15" t="s">
        <v>25</v>
      </c>
      <c r="C15" s="1" t="s">
        <v>36</v>
      </c>
      <c r="D15" s="1" t="s">
        <v>38</v>
      </c>
      <c r="E15" s="1" t="s">
        <v>45</v>
      </c>
      <c r="F15" s="1" t="s">
        <v>46</v>
      </c>
      <c r="G15" s="1" t="s">
        <v>47</v>
      </c>
      <c r="H15" s="1" t="s">
        <v>49</v>
      </c>
      <c r="I15" s="1" t="s">
        <v>50</v>
      </c>
      <c r="J15" s="1" t="s">
        <v>51</v>
      </c>
      <c r="K15" s="1" t="s">
        <v>52</v>
      </c>
      <c r="L15" s="1" t="s">
        <v>53</v>
      </c>
      <c r="M15" s="1" t="s">
        <v>54</v>
      </c>
      <c r="N15" s="1" t="s">
        <v>55</v>
      </c>
    </row>
    <row r="16" spans="2:14" ht="32.25" customHeight="1">
      <c r="B16" s="15" t="s">
        <v>26</v>
      </c>
      <c r="C16" s="1" t="s">
        <v>56</v>
      </c>
      <c r="D16" s="1" t="s">
        <v>57</v>
      </c>
      <c r="E16" s="1" t="s">
        <v>58</v>
      </c>
      <c r="F16" s="1" t="s">
        <v>59</v>
      </c>
      <c r="G16" s="1" t="s">
        <v>60</v>
      </c>
      <c r="H16" s="1" t="s">
        <v>61</v>
      </c>
      <c r="I16" s="1" t="s">
        <v>62</v>
      </c>
      <c r="J16" s="1" t="s">
        <v>63</v>
      </c>
      <c r="K16" s="1" t="s">
        <v>65</v>
      </c>
      <c r="L16" s="17" t="s">
        <v>66</v>
      </c>
      <c r="M16" s="17" t="s">
        <v>67</v>
      </c>
      <c r="N16" s="17" t="s">
        <v>68</v>
      </c>
    </row>
    <row r="17" spans="2:14" ht="32.25" customHeight="1">
      <c r="B17" s="15" t="s">
        <v>27</v>
      </c>
      <c r="C17" s="25"/>
      <c r="D17" s="25"/>
      <c r="E17" s="25"/>
      <c r="F17" s="1"/>
      <c r="G17" s="1"/>
      <c r="H17" s="1"/>
      <c r="I17" s="1"/>
      <c r="J17" s="20"/>
      <c r="K17" s="20"/>
      <c r="L17" s="20"/>
      <c r="M17" s="1"/>
      <c r="N17" s="1"/>
    </row>
    <row r="18" spans="2:14" ht="32.25" customHeight="1">
      <c r="B18" s="15" t="s">
        <v>28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32.25" customHeight="1">
      <c r="B19" s="15" t="s">
        <v>29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32.25" customHeight="1">
      <c r="B20" s="15" t="s">
        <v>30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32.25" customHeight="1">
      <c r="B21" s="15" t="s">
        <v>31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 set</vt:lpstr>
      <vt:lpstr>Quality Control</vt:lpstr>
      <vt:lpstr>Plate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Lefevre</dc:creator>
  <cp:lastModifiedBy>Camille Dupuy</cp:lastModifiedBy>
  <dcterms:created xsi:type="dcterms:W3CDTF">2015-06-05T18:19:34Z</dcterms:created>
  <dcterms:modified xsi:type="dcterms:W3CDTF">2024-12-02T10:05:48Z</dcterms:modified>
</cp:coreProperties>
</file>