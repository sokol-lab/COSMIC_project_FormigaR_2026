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Archive 2024\0 Spectrométrie de Masse\Xevo TQ-XS\Dosage Acide Biliaire 2024.PRO\Rapports\FP_2024_65\Selles\"/>
    </mc:Choice>
  </mc:AlternateContent>
  <xr:revisionPtr revIDLastSave="0" documentId="13_ncr:1_{097F198F-EBDD-41A3-911D-3C57624C9C95}" xr6:coauthVersionLast="47" xr6:coauthVersionMax="47" xr10:uidLastSave="{00000000-0000-0000-0000-000000000000}"/>
  <bookViews>
    <workbookView xWindow="-108" yWindow="-108" windowWidth="23256" windowHeight="12456" tabRatio="811" activeTab="3" xr2:uid="{85B62A20-5591-4DE3-AEA1-FA6CE3CDC0ED}"/>
  </bookViews>
  <sheets>
    <sheet name="Normalisation_Data set client" sheetId="35" r:id="rId1"/>
    <sheet name="Quality Control" sheetId="36" r:id="rId2"/>
    <sheet name="Plate Map" sheetId="37" r:id="rId3"/>
    <sheet name="List of molecule abbreviations " sheetId="3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<sst xmlns="http://schemas.openxmlformats.org/spreadsheetml/2006/main" count="586" uniqueCount="147">
  <si>
    <t>Batch_1</t>
  </si>
  <si>
    <t>Low Level QC</t>
  </si>
  <si>
    <t>Medium Level QC</t>
  </si>
  <si>
    <t>High Level QC</t>
  </si>
  <si>
    <t>Theorical Concentrations (nM)</t>
  </si>
  <si>
    <t>Beginning of the batch</t>
  </si>
  <si>
    <t>End of the batch</t>
  </si>
  <si>
    <t>Calculated Concentrations (nM)</t>
  </si>
  <si>
    <t>% Diff</t>
  </si>
  <si>
    <t>A</t>
  </si>
  <si>
    <t>L1</t>
  </si>
  <si>
    <t>L2</t>
  </si>
  <si>
    <t>L3</t>
  </si>
  <si>
    <t>L4</t>
  </si>
  <si>
    <t>L5</t>
  </si>
  <si>
    <t>L6</t>
  </si>
  <si>
    <t>L7</t>
  </si>
  <si>
    <t>QC_Low_1</t>
  </si>
  <si>
    <t>QC_Medium_1</t>
  </si>
  <si>
    <t>QC_High_1</t>
  </si>
  <si>
    <t>B</t>
  </si>
  <si>
    <t>C</t>
  </si>
  <si>
    <t>D</t>
  </si>
  <si>
    <t>E</t>
  </si>
  <si>
    <t>F</t>
  </si>
  <si>
    <t>G</t>
  </si>
  <si>
    <t>H</t>
  </si>
  <si>
    <t>Sample ID Tours</t>
  </si>
  <si>
    <t>Comments</t>
  </si>
  <si>
    <t>QC_Low_2</t>
  </si>
  <si>
    <t>QC_Medium_2</t>
  </si>
  <si>
    <t>QC_High_2</t>
  </si>
  <si>
    <t>2024_3331</t>
  </si>
  <si>
    <t>2024_3332</t>
  </si>
  <si>
    <t>2024_3333</t>
  </si>
  <si>
    <t>2024_3334</t>
  </si>
  <si>
    <t>2024_3335</t>
  </si>
  <si>
    <t>2024_3336</t>
  </si>
  <si>
    <t>2024_3337</t>
  </si>
  <si>
    <t>2024_3338</t>
  </si>
  <si>
    <t>2024_3339</t>
  </si>
  <si>
    <t>2024_3340</t>
  </si>
  <si>
    <t>2024_3341</t>
  </si>
  <si>
    <t>2024_3342</t>
  </si>
  <si>
    <t>2024_3343</t>
  </si>
  <si>
    <t>2024_3344</t>
  </si>
  <si>
    <t>2024_3345</t>
  </si>
  <si>
    <t>2024_3346</t>
  </si>
  <si>
    <t>2024_3347</t>
  </si>
  <si>
    <t>2024_3348</t>
  </si>
  <si>
    <t>2024_3349</t>
  </si>
  <si>
    <t>2024_3350</t>
  </si>
  <si>
    <t>2024_3351</t>
  </si>
  <si>
    <t>2024_3352</t>
  </si>
  <si>
    <t>2024_3353</t>
  </si>
  <si>
    <t>2024_3354</t>
  </si>
  <si>
    <t>2024_3355</t>
  </si>
  <si>
    <t>2024_3356</t>
  </si>
  <si>
    <t>2024_3357</t>
  </si>
  <si>
    <t>2024_3358</t>
  </si>
  <si>
    <t>2024_3359</t>
  </si>
  <si>
    <t>2024_3360</t>
  </si>
  <si>
    <t>2024_3361</t>
  </si>
  <si>
    <t>Tauro Hyocholic acid</t>
  </si>
  <si>
    <t>Glyco Hyocholic acid</t>
  </si>
  <si>
    <t>Tauro Cholic acid</t>
  </si>
  <si>
    <t>Cholic acid 3-sulfate</t>
  </si>
  <si>
    <t>Tauro Ursodeoxycholic acid</t>
  </si>
  <si>
    <t>Tauro Chenodeoxycholic acid</t>
  </si>
  <si>
    <t>Hyocholic acid</t>
  </si>
  <si>
    <t>Ursodeoxycholic acid</t>
  </si>
  <si>
    <t>Tauro Deoxycholic acid</t>
  </si>
  <si>
    <t>Glyco Chenodeoxycholic acid</t>
  </si>
  <si>
    <t>Cholic acid</t>
  </si>
  <si>
    <t>Glyco Deoxycholic acid</t>
  </si>
  <si>
    <t>Tauro Lithocholic Acid</t>
  </si>
  <si>
    <t>Lithocholic acid 3-Sulfate</t>
  </si>
  <si>
    <t>Chenodeoxycholic acid</t>
  </si>
  <si>
    <t>Glyco Lithocholic acid</t>
  </si>
  <si>
    <t>Deoxycholic acid</t>
  </si>
  <si>
    <t>Lithocholic acid</t>
  </si>
  <si>
    <t>Calculated Concentration (pmol / mg dry matter)</t>
  </si>
  <si>
    <t>Batch_dilution</t>
  </si>
  <si>
    <t>Batch_Dilution</t>
  </si>
  <si>
    <t xml:space="preserve">Sample ID </t>
  </si>
  <si>
    <t>Cosmic 27</t>
  </si>
  <si>
    <t>Cosmic 29</t>
  </si>
  <si>
    <t>Cosmic 32</t>
  </si>
  <si>
    <t>Cosmic 34</t>
  </si>
  <si>
    <t>Cosmic 35</t>
  </si>
  <si>
    <t>Cosmic 46</t>
  </si>
  <si>
    <t>Cosmic 45</t>
  </si>
  <si>
    <t>Cosmic 48</t>
  </si>
  <si>
    <t>Cosmic 51</t>
  </si>
  <si>
    <t>Cosmic 54</t>
  </si>
  <si>
    <t>Cosmic 31</t>
  </si>
  <si>
    <t>Cosmic 36</t>
  </si>
  <si>
    <t>Cosmic 39</t>
  </si>
  <si>
    <t>Cosmic 40</t>
  </si>
  <si>
    <t>Cosmic 41</t>
  </si>
  <si>
    <t>Cosmic 52</t>
  </si>
  <si>
    <t>Cosmic 57</t>
  </si>
  <si>
    <t>Cosmic 53</t>
  </si>
  <si>
    <t>Cosmic 58</t>
  </si>
  <si>
    <t>Cosmic 56</t>
  </si>
  <si>
    <t>Cosmic 60</t>
  </si>
  <si>
    <t>1 - 892</t>
  </si>
  <si>
    <t xml:space="preserve">2 - 901 </t>
  </si>
  <si>
    <t xml:space="preserve">3 - 911  </t>
  </si>
  <si>
    <t xml:space="preserve">4 - 913 </t>
  </si>
  <si>
    <t xml:space="preserve">5 - 915 </t>
  </si>
  <si>
    <t>6 - 955</t>
  </si>
  <si>
    <t>7 - 983</t>
  </si>
  <si>
    <t>8 - 964</t>
  </si>
  <si>
    <t>11 - 821</t>
  </si>
  <si>
    <t>12 - 1052</t>
  </si>
  <si>
    <t>Molécule</t>
  </si>
  <si>
    <t>THCA</t>
  </si>
  <si>
    <t>GHCA</t>
  </si>
  <si>
    <t>TCA</t>
  </si>
  <si>
    <t>GUDCA</t>
  </si>
  <si>
    <t>Glycoursodeoxycholic acid</t>
  </si>
  <si>
    <t>CA-S</t>
  </si>
  <si>
    <t>GCA</t>
  </si>
  <si>
    <t>Glycocholic acid</t>
  </si>
  <si>
    <t>TUDCA</t>
  </si>
  <si>
    <t>TCDCA</t>
  </si>
  <si>
    <t>HCA</t>
  </si>
  <si>
    <t>UDCA</t>
  </si>
  <si>
    <t>TDCA</t>
  </si>
  <si>
    <t>GCDCA</t>
  </si>
  <si>
    <t>CA</t>
  </si>
  <si>
    <t>GDCA</t>
  </si>
  <si>
    <t>TLCA</t>
  </si>
  <si>
    <t>LCA-S</t>
  </si>
  <si>
    <t>CDCA</t>
  </si>
  <si>
    <t>GLCA</t>
  </si>
  <si>
    <t>DCA</t>
  </si>
  <si>
    <t>LCA</t>
  </si>
  <si>
    <t>Abréviations</t>
  </si>
  <si>
    <t>Dilution protocol : GCA_GCDCA</t>
  </si>
  <si>
    <t>Dilution protocol : CA_CDCA</t>
  </si>
  <si>
    <t>Dilution protocol : TCA_GCA_TCDCA_GCDCA_CA</t>
  </si>
  <si>
    <t>Dilution protocol : GCA_GCDCA_CA_CDCA</t>
  </si>
  <si>
    <t>Dilution protocol : TCA_GCA_TCDCA_GCDCA</t>
  </si>
  <si>
    <t>Dilution protocol : DCA</t>
  </si>
  <si>
    <t>&lt; LLOQ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</si>
</sst>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0" fillId="0" borderId="8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left" vertical="center"/>
    </xf>
    <xf numFmtId="2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theme="1"/>
      </font>
      <fill>
        <patternFill>
          <fgColor indexed="64"/>
          <bgColor theme="4" tint="0.59996337778862885"/>
        </patternFill>
      </fill>
    </dxf>
    <dxf>
      <font>
        <color auto="1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6725F-5DB6-404F-8321-9B66FB7BBD53}">
  <sheetPr>
    <tabColor rgb="FF008000"/>
  </sheetPr>
  <dimension ref="C1:Y33"/>
  <sheetViews>
    <sheetView zoomScale="80" zoomScaleNormal="80" workbookViewId="0">
      <selection sqref="A1:XFD1048576"/>
    </sheetView>
  </sheetViews>
  <sheetFormatPr baseColWidth="10" defaultRowHeight="14.4" x14ac:dyDescent="0.3"/>
  <cols>
    <col min="3" max="3" width="49.5546875" style="1" customWidth="1"/>
    <col min="4" max="4" width="16.33203125" customWidth="1"/>
    <col min="5" max="5" width="15.109375" bestFit="1" customWidth="1"/>
    <col min="6" max="25" width="18.33203125" customWidth="1"/>
  </cols>
  <sheetData>
    <row r="1" spans="3:25" ht="25.8" x14ac:dyDescent="0.3">
      <c r="F1" s="39" t="s">
        <v>81</v>
      </c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2" spans="3:25" ht="27.75" customHeight="1" x14ac:dyDescent="0.3">
      <c r="C2" s="2" t="s">
        <v>28</v>
      </c>
      <c r="D2" s="2" t="s">
        <v>84</v>
      </c>
      <c r="E2" s="2" t="s">
        <v>27</v>
      </c>
      <c r="F2" s="3" t="s">
        <v>117</v>
      </c>
      <c r="G2" s="3" t="s">
        <v>118</v>
      </c>
      <c r="H2" s="3" t="s">
        <v>119</v>
      </c>
      <c r="I2" s="3" t="s">
        <v>120</v>
      </c>
      <c r="J2" s="3" t="s">
        <v>122</v>
      </c>
      <c r="K2" s="3" t="s">
        <v>123</v>
      </c>
      <c r="L2" s="3" t="s">
        <v>125</v>
      </c>
      <c r="M2" s="3" t="s">
        <v>126</v>
      </c>
      <c r="N2" s="3" t="s">
        <v>127</v>
      </c>
      <c r="O2" s="3" t="s">
        <v>128</v>
      </c>
      <c r="P2" s="3" t="s">
        <v>129</v>
      </c>
      <c r="Q2" s="3" t="s">
        <v>130</v>
      </c>
      <c r="R2" s="3" t="s">
        <v>131</v>
      </c>
      <c r="S2" s="3" t="s">
        <v>132</v>
      </c>
      <c r="T2" s="3" t="s">
        <v>133</v>
      </c>
      <c r="U2" s="3" t="s">
        <v>134</v>
      </c>
      <c r="V2" s="3" t="s">
        <v>135</v>
      </c>
      <c r="W2" s="3" t="s">
        <v>136</v>
      </c>
      <c r="X2" s="3" t="s">
        <v>137</v>
      </c>
      <c r="Y2" s="3" t="s">
        <v>138</v>
      </c>
    </row>
    <row r="3" spans="3:25" x14ac:dyDescent="0.3">
      <c r="C3" s="20" t="s">
        <v>140</v>
      </c>
      <c r="D3" s="2" t="s">
        <v>85</v>
      </c>
      <c r="E3" s="2" t="s">
        <v>32</v>
      </c>
      <c r="F3" s="2" t="s">
        <v>146</v>
      </c>
      <c r="G3" s="16">
        <v>5.1327913279132575</v>
      </c>
      <c r="H3" s="16">
        <v>30.445962059620467</v>
      </c>
      <c r="I3" s="16">
        <v>28.857235772357608</v>
      </c>
      <c r="J3" s="16">
        <v>5.6416260162601386</v>
      </c>
      <c r="K3" s="19">
        <v>1357.4092140921352</v>
      </c>
      <c r="L3" s="16">
        <v>0.82775067750677167</v>
      </c>
      <c r="M3" s="16">
        <v>45.449756097560787</v>
      </c>
      <c r="N3" s="16">
        <v>3.6604878048780338</v>
      </c>
      <c r="O3" s="16">
        <v>0.98710027100270592</v>
      </c>
      <c r="P3" s="16">
        <v>1.1733333333333285</v>
      </c>
      <c r="Q3" s="19">
        <v>1695.2195121951149</v>
      </c>
      <c r="R3" s="16">
        <v>484.04813008129884</v>
      </c>
      <c r="S3" s="16">
        <v>42.392628726287086</v>
      </c>
      <c r="T3" s="16" t="s">
        <v>146</v>
      </c>
      <c r="U3" s="16" t="s">
        <v>146</v>
      </c>
      <c r="V3" s="16">
        <v>428.87978319783025</v>
      </c>
      <c r="W3" s="16" t="s">
        <v>146</v>
      </c>
      <c r="X3" s="16">
        <v>16.049864498644919</v>
      </c>
      <c r="Y3" s="16" t="s">
        <v>146</v>
      </c>
    </row>
    <row r="4" spans="3:25" x14ac:dyDescent="0.3">
      <c r="C4" s="20" t="s">
        <v>141</v>
      </c>
      <c r="D4" s="2" t="s">
        <v>86</v>
      </c>
      <c r="E4" s="2" t="s">
        <v>33</v>
      </c>
      <c r="F4" s="16">
        <v>2.868261562998407</v>
      </c>
      <c r="G4" s="16" t="s">
        <v>146</v>
      </c>
      <c r="H4" s="16">
        <v>202.48229665071781</v>
      </c>
      <c r="I4" s="16" t="s">
        <v>146</v>
      </c>
      <c r="J4" s="16">
        <v>84.756618819776747</v>
      </c>
      <c r="K4" s="16">
        <v>74.141626794258414</v>
      </c>
      <c r="L4" s="16" t="s">
        <v>146</v>
      </c>
      <c r="M4" s="16">
        <v>107.55215311004788</v>
      </c>
      <c r="N4" s="16">
        <v>125.52918660287087</v>
      </c>
      <c r="O4" s="16">
        <v>20.720255183413084</v>
      </c>
      <c r="P4" s="16" t="s">
        <v>146</v>
      </c>
      <c r="Q4" s="16">
        <v>31.610845295055835</v>
      </c>
      <c r="R4" s="19">
        <v>57710.972886762385</v>
      </c>
      <c r="S4" s="16" t="s">
        <v>146</v>
      </c>
      <c r="T4" s="16" t="s">
        <v>146</v>
      </c>
      <c r="U4" s="16">
        <v>72.951834130781535</v>
      </c>
      <c r="V4" s="19">
        <v>10132.281842818385</v>
      </c>
      <c r="W4" s="16" t="s">
        <v>146</v>
      </c>
      <c r="X4" s="16" t="s">
        <v>146</v>
      </c>
      <c r="Y4" s="16" t="s">
        <v>146</v>
      </c>
    </row>
    <row r="5" spans="3:25" x14ac:dyDescent="0.3">
      <c r="C5" s="7"/>
      <c r="D5" s="2" t="s">
        <v>87</v>
      </c>
      <c r="E5" s="2" t="s">
        <v>34</v>
      </c>
      <c r="F5" s="16" t="s">
        <v>146</v>
      </c>
      <c r="G5" s="16">
        <v>1.3170270270270339</v>
      </c>
      <c r="H5" s="16" t="s">
        <v>146</v>
      </c>
      <c r="I5" s="16" t="s">
        <v>146</v>
      </c>
      <c r="J5" s="16">
        <v>1.3256756756756827</v>
      </c>
      <c r="K5" s="16">
        <v>126.80540540540606</v>
      </c>
      <c r="L5" s="16" t="s">
        <v>146</v>
      </c>
      <c r="M5" s="16">
        <v>5.6678378378378671</v>
      </c>
      <c r="N5" s="16" t="s">
        <v>146</v>
      </c>
      <c r="O5" s="16" t="s">
        <v>146</v>
      </c>
      <c r="P5" s="16" t="s">
        <v>146</v>
      </c>
      <c r="Q5" s="16">
        <v>154.68864864864943</v>
      </c>
      <c r="R5" s="16">
        <v>58.368108108108409</v>
      </c>
      <c r="S5" s="16" t="s">
        <v>146</v>
      </c>
      <c r="T5" s="16" t="s">
        <v>146</v>
      </c>
      <c r="U5" s="16" t="s">
        <v>146</v>
      </c>
      <c r="V5" s="16">
        <v>10.853513513513571</v>
      </c>
      <c r="W5" s="16" t="s">
        <v>146</v>
      </c>
      <c r="X5" s="16" t="s">
        <v>146</v>
      </c>
      <c r="Y5" s="16" t="s">
        <v>146</v>
      </c>
    </row>
    <row r="6" spans="3:25" x14ac:dyDescent="0.3">
      <c r="C6" s="18" t="s">
        <v>140</v>
      </c>
      <c r="D6" s="2" t="s">
        <v>88</v>
      </c>
      <c r="E6" s="2" t="s">
        <v>35</v>
      </c>
      <c r="F6" s="16" t="s">
        <v>146</v>
      </c>
      <c r="G6" s="16">
        <v>33.438383838382265</v>
      </c>
      <c r="H6" s="16">
        <v>26.604040404039157</v>
      </c>
      <c r="I6" s="16">
        <v>24.846464646463481</v>
      </c>
      <c r="J6" s="16" t="s">
        <v>146</v>
      </c>
      <c r="K6" s="19">
        <v>19564.545454544539</v>
      </c>
      <c r="L6" s="16" t="s">
        <v>146</v>
      </c>
      <c r="M6" s="16">
        <v>39.294949494947652</v>
      </c>
      <c r="N6" s="16">
        <v>10.343434343433859</v>
      </c>
      <c r="O6" s="16" t="s">
        <v>146</v>
      </c>
      <c r="P6" s="16" t="s">
        <v>146</v>
      </c>
      <c r="Q6" s="19">
        <v>14914.242424241726</v>
      </c>
      <c r="R6" s="16">
        <v>4466.7979797977705</v>
      </c>
      <c r="S6" s="16" t="s">
        <v>146</v>
      </c>
      <c r="T6" s="16" t="s">
        <v>146</v>
      </c>
      <c r="U6" s="16" t="s">
        <v>146</v>
      </c>
      <c r="V6" s="16">
        <v>673.77575757572606</v>
      </c>
      <c r="W6" s="16" t="s">
        <v>146</v>
      </c>
      <c r="X6" s="16" t="s">
        <v>146</v>
      </c>
      <c r="Y6" s="16" t="s">
        <v>146</v>
      </c>
    </row>
    <row r="7" spans="3:25" x14ac:dyDescent="0.3">
      <c r="C7" s="18" t="s">
        <v>142</v>
      </c>
      <c r="D7" s="2" t="s">
        <v>89</v>
      </c>
      <c r="E7" s="2" t="s">
        <v>36</v>
      </c>
      <c r="F7" s="16">
        <v>7.5471480144403573</v>
      </c>
      <c r="G7" s="16">
        <v>5.5555234657039154</v>
      </c>
      <c r="H7" s="19">
        <v>2117.6173285198342</v>
      </c>
      <c r="I7" s="16">
        <v>125.83797833934892</v>
      </c>
      <c r="J7" s="16" t="s">
        <v>146</v>
      </c>
      <c r="K7" s="19">
        <v>1992.8519855595468</v>
      </c>
      <c r="L7" s="16">
        <v>40.707003610107897</v>
      </c>
      <c r="M7" s="19">
        <v>2259.9133574006992</v>
      </c>
      <c r="N7" s="16">
        <v>6.133140794223765</v>
      </c>
      <c r="O7" s="16">
        <v>18.323176895306677</v>
      </c>
      <c r="P7" s="16">
        <v>96.641444043320334</v>
      </c>
      <c r="Q7" s="19">
        <v>2212.5631768952844</v>
      </c>
      <c r="R7" s="19">
        <v>15683.119133573849</v>
      </c>
      <c r="S7" s="16">
        <v>92.924765342959347</v>
      </c>
      <c r="T7" s="16" t="s">
        <v>146</v>
      </c>
      <c r="U7" s="16" t="s">
        <v>146</v>
      </c>
      <c r="V7" s="16">
        <v>5645.59913357395</v>
      </c>
      <c r="W7" s="16" t="s">
        <v>146</v>
      </c>
      <c r="X7" s="16">
        <v>294.69429602887794</v>
      </c>
      <c r="Y7" s="16" t="s">
        <v>146</v>
      </c>
    </row>
    <row r="8" spans="3:25" x14ac:dyDescent="0.3">
      <c r="C8" s="18" t="s">
        <v>143</v>
      </c>
      <c r="D8" s="2" t="s">
        <v>90</v>
      </c>
      <c r="E8" s="2" t="s">
        <v>37</v>
      </c>
      <c r="F8" s="16" t="s">
        <v>146</v>
      </c>
      <c r="G8" s="16">
        <v>60.999086757991705</v>
      </c>
      <c r="H8" s="16">
        <v>39.805936073059911</v>
      </c>
      <c r="I8" s="16">
        <v>55.70182648401903</v>
      </c>
      <c r="J8" s="16">
        <v>22.967123287671551</v>
      </c>
      <c r="K8" s="19">
        <v>19347.374429224012</v>
      </c>
      <c r="L8" s="16" t="s">
        <v>146</v>
      </c>
      <c r="M8" s="16">
        <v>45.136073059361358</v>
      </c>
      <c r="N8" s="16">
        <v>36.582648401826987</v>
      </c>
      <c r="O8" s="16">
        <v>1.9977168949771966</v>
      </c>
      <c r="P8" s="16" t="s">
        <v>146</v>
      </c>
      <c r="Q8" s="19">
        <v>12196.735159817521</v>
      </c>
      <c r="R8" s="19">
        <v>50978.35616438427</v>
      </c>
      <c r="S8" s="16">
        <v>65.978995433790871</v>
      </c>
      <c r="T8" s="16" t="s">
        <v>146</v>
      </c>
      <c r="U8" s="16" t="s">
        <v>146</v>
      </c>
      <c r="V8" s="19">
        <v>22726.232876712642</v>
      </c>
      <c r="W8" s="16" t="s">
        <v>146</v>
      </c>
      <c r="X8" s="16">
        <v>35.25890410958953</v>
      </c>
      <c r="Y8" s="16" t="s">
        <v>146</v>
      </c>
    </row>
    <row r="9" spans="3:25" x14ac:dyDescent="0.3">
      <c r="C9" s="18" t="s">
        <v>144</v>
      </c>
      <c r="D9" s="2" t="s">
        <v>91</v>
      </c>
      <c r="E9" s="2" t="s">
        <v>38</v>
      </c>
      <c r="F9" s="16">
        <v>19.220522388059589</v>
      </c>
      <c r="G9" s="16">
        <v>30.031343283581911</v>
      </c>
      <c r="H9" s="19">
        <v>3619.5149253731133</v>
      </c>
      <c r="I9" s="16">
        <v>86.811567164178598</v>
      </c>
      <c r="J9" s="16" t="s">
        <v>146</v>
      </c>
      <c r="K9" s="19">
        <v>13184.141791044698</v>
      </c>
      <c r="L9" s="16">
        <v>17.369776119402882</v>
      </c>
      <c r="M9" s="19">
        <v>3491.2499999999795</v>
      </c>
      <c r="N9" s="16">
        <v>2.4332089552238663</v>
      </c>
      <c r="O9" s="16" t="s">
        <v>146</v>
      </c>
      <c r="P9" s="16">
        <v>5.1555970149253438</v>
      </c>
      <c r="Q9" s="19">
        <v>9949.9253731342706</v>
      </c>
      <c r="R9" s="16">
        <v>3509.5059701492337</v>
      </c>
      <c r="S9" s="16">
        <v>4.4156716417910191</v>
      </c>
      <c r="T9" s="16" t="s">
        <v>146</v>
      </c>
      <c r="U9" s="16" t="s">
        <v>146</v>
      </c>
      <c r="V9" s="16">
        <v>2978.492164179087</v>
      </c>
      <c r="W9" s="16" t="s">
        <v>146</v>
      </c>
      <c r="X9" s="16" t="s">
        <v>146</v>
      </c>
      <c r="Y9" s="16" t="s">
        <v>146</v>
      </c>
    </row>
    <row r="10" spans="3:25" x14ac:dyDescent="0.3">
      <c r="C10" s="7"/>
      <c r="D10" s="2" t="s">
        <v>92</v>
      </c>
      <c r="E10" s="2" t="s">
        <v>39</v>
      </c>
      <c r="F10" s="16" t="s">
        <v>146</v>
      </c>
      <c r="G10" s="16" t="s">
        <v>146</v>
      </c>
      <c r="H10" s="16">
        <v>37.056818181818528</v>
      </c>
      <c r="I10" s="16">
        <v>52.61363636363685</v>
      </c>
      <c r="J10" s="16">
        <v>157.57272727272871</v>
      </c>
      <c r="K10" s="16">
        <v>88.709090909091714</v>
      </c>
      <c r="L10" s="16">
        <v>21.195454545454741</v>
      </c>
      <c r="M10" s="16">
        <v>66.236363636364246</v>
      </c>
      <c r="N10" s="16">
        <v>386.12727272727625</v>
      </c>
      <c r="O10" s="16">
        <v>897.26136363637193</v>
      </c>
      <c r="P10" s="16" t="s">
        <v>146</v>
      </c>
      <c r="Q10" s="16">
        <v>47.347727272727703</v>
      </c>
      <c r="R10" s="16">
        <v>8424.7954545455323</v>
      </c>
      <c r="S10" s="16" t="s">
        <v>146</v>
      </c>
      <c r="T10" s="16" t="s">
        <v>146</v>
      </c>
      <c r="U10" s="16" t="s">
        <v>146</v>
      </c>
      <c r="V10" s="16">
        <v>1534.334090909105</v>
      </c>
      <c r="W10" s="16" t="s">
        <v>146</v>
      </c>
      <c r="X10" s="16">
        <v>153.76818181818325</v>
      </c>
      <c r="Y10" s="16" t="s">
        <v>146</v>
      </c>
    </row>
    <row r="11" spans="3:25" x14ac:dyDescent="0.3">
      <c r="C11" s="18" t="s">
        <v>144</v>
      </c>
      <c r="D11" s="2" t="s">
        <v>93</v>
      </c>
      <c r="E11" s="2" t="s">
        <v>40</v>
      </c>
      <c r="F11" s="16">
        <v>16.332416502947545</v>
      </c>
      <c r="G11" s="16">
        <v>22.96738703339965</v>
      </c>
      <c r="H11" s="19">
        <v>2686.7190569745567</v>
      </c>
      <c r="I11" s="16">
        <v>126.14538310413029</v>
      </c>
      <c r="J11" s="16">
        <v>12.275049115913998</v>
      </c>
      <c r="K11" s="19">
        <v>4709.7445972496789</v>
      </c>
      <c r="L11" s="16">
        <v>47.646365422398581</v>
      </c>
      <c r="M11" s="19">
        <v>3341.96463654236</v>
      </c>
      <c r="N11" s="16">
        <v>4.6711198428292446</v>
      </c>
      <c r="O11" s="16" t="s">
        <v>146</v>
      </c>
      <c r="P11" s="16">
        <v>91.412180746565184</v>
      </c>
      <c r="Q11" s="19">
        <v>5269.9803536347672</v>
      </c>
      <c r="R11" s="16">
        <v>3971.5041257368816</v>
      </c>
      <c r="S11" s="16">
        <v>148.46915520629219</v>
      </c>
      <c r="T11" s="16" t="s">
        <v>146</v>
      </c>
      <c r="U11" s="16" t="s">
        <v>146</v>
      </c>
      <c r="V11" s="16">
        <v>1894.8314341847438</v>
      </c>
      <c r="W11" s="16" t="s">
        <v>146</v>
      </c>
      <c r="X11" s="16">
        <v>70.880943025542834</v>
      </c>
      <c r="Y11" s="16" t="s">
        <v>146</v>
      </c>
    </row>
    <row r="12" spans="3:25" x14ac:dyDescent="0.3">
      <c r="C12" s="18" t="s">
        <v>144</v>
      </c>
      <c r="D12" s="2" t="s">
        <v>94</v>
      </c>
      <c r="E12" s="2" t="s">
        <v>41</v>
      </c>
      <c r="F12" s="16">
        <v>166.98518518518986</v>
      </c>
      <c r="G12" s="16">
        <v>101.26814814815097</v>
      </c>
      <c r="H12" s="19">
        <v>12671.185185185539</v>
      </c>
      <c r="I12" s="16">
        <v>874.24444444446874</v>
      </c>
      <c r="J12" s="16" t="s">
        <v>146</v>
      </c>
      <c r="K12" s="19">
        <v>23606.148148148808</v>
      </c>
      <c r="L12" s="16">
        <v>280.23407407408189</v>
      </c>
      <c r="M12" s="19">
        <v>18334.740740741254</v>
      </c>
      <c r="N12" s="16">
        <v>5.699259259259418</v>
      </c>
      <c r="O12" s="16">
        <v>12.52000000000035</v>
      </c>
      <c r="P12" s="16">
        <v>6.7022222222224093</v>
      </c>
      <c r="Q12" s="19">
        <v>33310.296296297223</v>
      </c>
      <c r="R12" s="16">
        <v>933.33481481484091</v>
      </c>
      <c r="S12" s="16">
        <v>14.198518518518915</v>
      </c>
      <c r="T12" s="16" t="s">
        <v>146</v>
      </c>
      <c r="U12" s="16" t="s">
        <v>146</v>
      </c>
      <c r="V12" s="16">
        <v>2896.0651851852663</v>
      </c>
      <c r="W12" s="16" t="s">
        <v>146</v>
      </c>
      <c r="X12" s="16">
        <v>83.863703703706037</v>
      </c>
      <c r="Y12" s="16" t="s">
        <v>146</v>
      </c>
    </row>
    <row r="13" spans="3:25" x14ac:dyDescent="0.3">
      <c r="C13" s="7"/>
      <c r="D13" s="2" t="s">
        <v>95</v>
      </c>
      <c r="E13" s="2" t="s">
        <v>42</v>
      </c>
      <c r="F13" s="2" t="s">
        <v>146</v>
      </c>
      <c r="G13" s="16" t="s">
        <v>146</v>
      </c>
      <c r="H13" s="16">
        <v>32.016541353383509</v>
      </c>
      <c r="I13" s="16">
        <v>14.802255639097769</v>
      </c>
      <c r="J13" s="16">
        <v>63.48721804511289</v>
      </c>
      <c r="K13" s="16">
        <v>105.88421052631597</v>
      </c>
      <c r="L13" s="16">
        <v>3.0022556390977493</v>
      </c>
      <c r="M13" s="16">
        <v>38.129323308270742</v>
      </c>
      <c r="N13" s="16">
        <v>14.645864661654159</v>
      </c>
      <c r="O13" s="16">
        <v>124.40150375939871</v>
      </c>
      <c r="P13" s="16">
        <v>42.423308270676763</v>
      </c>
      <c r="Q13" s="16">
        <v>78.9774436090227</v>
      </c>
      <c r="R13" s="16">
        <v>563.81428571428671</v>
      </c>
      <c r="S13" s="16">
        <v>136.72255639097767</v>
      </c>
      <c r="T13" s="16" t="s">
        <v>146</v>
      </c>
      <c r="U13" s="16">
        <v>366.84135338345925</v>
      </c>
      <c r="V13" s="16">
        <v>496.52706766917373</v>
      </c>
      <c r="W13" s="16" t="s">
        <v>146</v>
      </c>
      <c r="X13" s="16">
        <v>16004.559398496267</v>
      </c>
      <c r="Y13" s="16">
        <v>9385.9488721804664</v>
      </c>
    </row>
    <row r="14" spans="3:25" x14ac:dyDescent="0.3">
      <c r="C14" s="7"/>
      <c r="D14" s="2" t="s">
        <v>96</v>
      </c>
      <c r="E14" s="2" t="s">
        <v>43</v>
      </c>
      <c r="F14" s="2" t="s">
        <v>146</v>
      </c>
      <c r="G14" s="16" t="s">
        <v>146</v>
      </c>
      <c r="H14" s="16">
        <v>8.4786206896552407</v>
      </c>
      <c r="I14" s="16" t="s">
        <v>146</v>
      </c>
      <c r="J14" s="16" t="s">
        <v>146</v>
      </c>
      <c r="K14" s="16">
        <v>19.341609195402455</v>
      </c>
      <c r="L14" s="16" t="s">
        <v>146</v>
      </c>
      <c r="M14" s="16">
        <v>26.412873563218607</v>
      </c>
      <c r="N14" s="16" t="s">
        <v>146</v>
      </c>
      <c r="O14" s="16">
        <v>14.611494252873683</v>
      </c>
      <c r="P14" s="16">
        <v>6.3232183908046498</v>
      </c>
      <c r="Q14" s="16">
        <v>24.497011494253073</v>
      </c>
      <c r="R14" s="16">
        <v>116.99264367816188</v>
      </c>
      <c r="S14" s="16">
        <v>22.437241379310528</v>
      </c>
      <c r="T14" s="16" t="s">
        <v>146</v>
      </c>
      <c r="U14" s="16" t="s">
        <v>146</v>
      </c>
      <c r="V14" s="16">
        <v>311.90804597701407</v>
      </c>
      <c r="W14" s="16">
        <v>8.6717241379311059</v>
      </c>
      <c r="X14" s="16">
        <v>4717.0022988506125</v>
      </c>
      <c r="Y14" s="16">
        <v>7157.9816091954608</v>
      </c>
    </row>
    <row r="15" spans="3:25" x14ac:dyDescent="0.3">
      <c r="C15" s="7"/>
      <c r="D15" s="2" t="s">
        <v>97</v>
      </c>
      <c r="E15" s="2" t="s">
        <v>44</v>
      </c>
      <c r="F15" s="2" t="s">
        <v>146</v>
      </c>
      <c r="G15" s="16" t="s">
        <v>146</v>
      </c>
      <c r="H15" s="16" t="s">
        <v>146</v>
      </c>
      <c r="I15" s="16" t="s">
        <v>146</v>
      </c>
      <c r="J15" s="16" t="s">
        <v>146</v>
      </c>
      <c r="K15" s="16">
        <v>5.0031383737518125</v>
      </c>
      <c r="L15" s="16" t="s">
        <v>146</v>
      </c>
      <c r="M15" s="16">
        <v>3.6650499286733451</v>
      </c>
      <c r="N15" s="16" t="s">
        <v>146</v>
      </c>
      <c r="O15" s="16">
        <v>4.05078459343797</v>
      </c>
      <c r="P15" s="16">
        <v>5.0630527817403994</v>
      </c>
      <c r="Q15" s="16">
        <v>3.5554921540656412</v>
      </c>
      <c r="R15" s="16" t="s">
        <v>146</v>
      </c>
      <c r="S15" s="16">
        <v>4.7338088445078732</v>
      </c>
      <c r="T15" s="16">
        <v>17.084736091298243</v>
      </c>
      <c r="U15" s="16" t="s">
        <v>146</v>
      </c>
      <c r="V15" s="16" t="s">
        <v>146</v>
      </c>
      <c r="W15" s="16" t="s">
        <v>146</v>
      </c>
      <c r="X15" s="16">
        <v>1622.4553495007226</v>
      </c>
      <c r="Y15" s="16">
        <v>3171.6815977175647</v>
      </c>
    </row>
    <row r="16" spans="3:25" x14ac:dyDescent="0.3">
      <c r="C16" s="7"/>
      <c r="D16" s="2" t="s">
        <v>98</v>
      </c>
      <c r="E16" s="2" t="s">
        <v>45</v>
      </c>
      <c r="F16" s="2" t="s">
        <v>146</v>
      </c>
      <c r="G16" s="16" t="s">
        <v>146</v>
      </c>
      <c r="H16" s="16" t="s">
        <v>146</v>
      </c>
      <c r="I16" s="16" t="s">
        <v>146</v>
      </c>
      <c r="J16" s="16" t="s">
        <v>146</v>
      </c>
      <c r="K16" s="16" t="s">
        <v>146</v>
      </c>
      <c r="L16" s="16" t="s">
        <v>146</v>
      </c>
      <c r="M16" s="16" t="s">
        <v>146</v>
      </c>
      <c r="N16" s="16" t="s">
        <v>146</v>
      </c>
      <c r="O16" s="16">
        <v>10.293436293436811</v>
      </c>
      <c r="P16" s="16" t="s">
        <v>146</v>
      </c>
      <c r="Q16" s="16" t="s">
        <v>146</v>
      </c>
      <c r="R16" s="16" t="s">
        <v>146</v>
      </c>
      <c r="S16" s="16">
        <v>32.168339768341383</v>
      </c>
      <c r="T16" s="16" t="s">
        <v>146</v>
      </c>
      <c r="U16" s="16" t="s">
        <v>146</v>
      </c>
      <c r="V16" s="16" t="s">
        <v>146</v>
      </c>
      <c r="W16" s="16" t="s">
        <v>146</v>
      </c>
      <c r="X16" s="16">
        <v>9631.737451737934</v>
      </c>
      <c r="Y16" s="16">
        <v>6214.3521235524349</v>
      </c>
    </row>
    <row r="17" spans="3:25" x14ac:dyDescent="0.3">
      <c r="C17" s="7"/>
      <c r="D17" s="2" t="s">
        <v>99</v>
      </c>
      <c r="E17" s="2" t="s">
        <v>46</v>
      </c>
      <c r="F17" s="2" t="s">
        <v>146</v>
      </c>
      <c r="G17" s="16" t="s">
        <v>146</v>
      </c>
      <c r="H17" s="16">
        <v>10.982916908774003</v>
      </c>
      <c r="I17" s="16">
        <v>2.2991284137129644</v>
      </c>
      <c r="J17" s="16" t="s">
        <v>146</v>
      </c>
      <c r="K17" s="16">
        <v>15.565136548518351</v>
      </c>
      <c r="L17" s="16" t="s">
        <v>146</v>
      </c>
      <c r="M17" s="16">
        <v>22.45973271353871</v>
      </c>
      <c r="N17" s="16">
        <v>4.7456130156885683</v>
      </c>
      <c r="O17" s="16">
        <v>15.863102847181921</v>
      </c>
      <c r="P17" s="16">
        <v>20.055084253341146</v>
      </c>
      <c r="Q17" s="16">
        <v>24.413480534573001</v>
      </c>
      <c r="R17" s="16">
        <v>89.25229517722282</v>
      </c>
      <c r="S17" s="16">
        <v>26.796746077861794</v>
      </c>
      <c r="T17" s="16" t="s">
        <v>146</v>
      </c>
      <c r="U17" s="16">
        <v>32.113422428820556</v>
      </c>
      <c r="V17" s="16">
        <v>246.51388727484098</v>
      </c>
      <c r="W17" s="16" t="s">
        <v>146</v>
      </c>
      <c r="X17" s="16">
        <v>4102.3574665892056</v>
      </c>
      <c r="Y17" s="16">
        <v>3992.1987216734583</v>
      </c>
    </row>
    <row r="18" spans="3:25" x14ac:dyDescent="0.3">
      <c r="C18" s="18" t="s">
        <v>145</v>
      </c>
      <c r="D18" s="2" t="s">
        <v>100</v>
      </c>
      <c r="E18" s="2" t="s">
        <v>47</v>
      </c>
      <c r="F18" s="2" t="s">
        <v>146</v>
      </c>
      <c r="G18" s="16" t="s">
        <v>146</v>
      </c>
      <c r="H18" s="16">
        <v>61.99387442572813</v>
      </c>
      <c r="I18" s="16">
        <v>31.296171516079998</v>
      </c>
      <c r="J18" s="16" t="s">
        <v>146</v>
      </c>
      <c r="K18" s="16">
        <v>243.82603369066132</v>
      </c>
      <c r="L18" s="16">
        <v>6.3130168453293223</v>
      </c>
      <c r="M18" s="16">
        <v>67.864012251149319</v>
      </c>
      <c r="N18" s="16">
        <v>13.875038284839365</v>
      </c>
      <c r="O18" s="16">
        <v>232.3136294027592</v>
      </c>
      <c r="P18" s="16">
        <v>31.525880551302048</v>
      </c>
      <c r="Q18" s="16">
        <v>184.48943338438193</v>
      </c>
      <c r="R18" s="16">
        <v>1060.4728943338562</v>
      </c>
      <c r="S18" s="16">
        <v>145.61102603369233</v>
      </c>
      <c r="T18" s="16" t="s">
        <v>146</v>
      </c>
      <c r="U18" s="16">
        <v>67.913629402757294</v>
      </c>
      <c r="V18" s="16">
        <v>1636.3350689127294</v>
      </c>
      <c r="W18" s="16" t="s">
        <v>146</v>
      </c>
      <c r="X18" s="19">
        <v>16751.271056661757</v>
      </c>
      <c r="Y18" s="16">
        <v>18192.681163859324</v>
      </c>
    </row>
    <row r="19" spans="3:25" x14ac:dyDescent="0.3">
      <c r="C19" s="7"/>
      <c r="D19" s="2" t="s">
        <v>101</v>
      </c>
      <c r="E19" s="2" t="s">
        <v>48</v>
      </c>
      <c r="F19" s="2" t="s">
        <v>146</v>
      </c>
      <c r="G19" s="16" t="s">
        <v>146</v>
      </c>
      <c r="H19" s="16">
        <v>1.3936651583710402</v>
      </c>
      <c r="I19" s="16" t="s">
        <v>146</v>
      </c>
      <c r="J19" s="16">
        <v>1.7857013574660625</v>
      </c>
      <c r="K19" s="16">
        <v>12.728325791855198</v>
      </c>
      <c r="L19" s="16" t="s">
        <v>146</v>
      </c>
      <c r="M19" s="16">
        <v>3.7780995475113106</v>
      </c>
      <c r="N19" s="16">
        <v>34.440904977375553</v>
      </c>
      <c r="O19" s="16">
        <v>148.3551131221719</v>
      </c>
      <c r="P19" s="16" t="s">
        <v>146</v>
      </c>
      <c r="Q19" s="16">
        <v>17.708235294117639</v>
      </c>
      <c r="R19" s="16">
        <v>6173.6224434389123</v>
      </c>
      <c r="S19" s="16">
        <v>2.6758371040723974</v>
      </c>
      <c r="T19" s="16" t="s">
        <v>146</v>
      </c>
      <c r="U19" s="16" t="s">
        <v>146</v>
      </c>
      <c r="V19" s="16">
        <v>3957.1145701357455</v>
      </c>
      <c r="W19" s="16" t="s">
        <v>146</v>
      </c>
      <c r="X19" s="16">
        <v>2586.7055203619902</v>
      </c>
      <c r="Y19" s="16">
        <v>1153.6351131221713</v>
      </c>
    </row>
    <row r="20" spans="3:25" x14ac:dyDescent="0.3">
      <c r="C20" s="7"/>
      <c r="D20" s="2" t="s">
        <v>102</v>
      </c>
      <c r="E20" s="2" t="s">
        <v>49</v>
      </c>
      <c r="F20" s="2" t="s">
        <v>146</v>
      </c>
      <c r="G20" s="16" t="s">
        <v>146</v>
      </c>
      <c r="H20" s="16">
        <v>55.232684824903558</v>
      </c>
      <c r="I20" s="16">
        <v>8.1782101167316412</v>
      </c>
      <c r="J20" s="16">
        <v>93.601556420234871</v>
      </c>
      <c r="K20" s="16">
        <v>31.548638132296194</v>
      </c>
      <c r="L20" s="16">
        <v>7.6210116731518651</v>
      </c>
      <c r="M20" s="16">
        <v>241.93151750973129</v>
      </c>
      <c r="N20" s="16" t="s">
        <v>146</v>
      </c>
      <c r="O20" s="16">
        <v>114.60233463035193</v>
      </c>
      <c r="P20" s="16">
        <v>71.129182879378504</v>
      </c>
      <c r="Q20" s="16">
        <v>84.007003891051852</v>
      </c>
      <c r="R20" s="16">
        <v>330.38599221790383</v>
      </c>
      <c r="S20" s="16">
        <v>45.775875486382013</v>
      </c>
      <c r="T20" s="16" t="s">
        <v>146</v>
      </c>
      <c r="U20" s="16">
        <v>220.65058365759089</v>
      </c>
      <c r="V20" s="16">
        <v>1115.3556420233631</v>
      </c>
      <c r="W20" s="16" t="s">
        <v>146</v>
      </c>
      <c r="X20" s="16">
        <v>5083.8964980545516</v>
      </c>
      <c r="Y20" s="16">
        <v>11191.623346303671</v>
      </c>
    </row>
    <row r="21" spans="3:25" x14ac:dyDescent="0.3">
      <c r="C21" s="7"/>
      <c r="D21" s="2" t="s">
        <v>103</v>
      </c>
      <c r="E21" s="2" t="s">
        <v>50</v>
      </c>
      <c r="F21" s="2" t="s">
        <v>146</v>
      </c>
      <c r="G21" s="16" t="s">
        <v>146</v>
      </c>
      <c r="H21" s="16">
        <v>3.2426133019423498</v>
      </c>
      <c r="I21" s="16">
        <v>3.4585050029429407</v>
      </c>
      <c r="J21" s="16" t="s">
        <v>146</v>
      </c>
      <c r="K21" s="16">
        <v>24.398822836963149</v>
      </c>
      <c r="L21" s="16" t="s">
        <v>146</v>
      </c>
      <c r="M21" s="16">
        <v>3.5613890523837894</v>
      </c>
      <c r="N21" s="16" t="s">
        <v>146</v>
      </c>
      <c r="O21" s="16">
        <v>10.466156562684031</v>
      </c>
      <c r="P21" s="16">
        <v>1.7732783990582863</v>
      </c>
      <c r="Q21" s="16">
        <v>21.143025309005498</v>
      </c>
      <c r="R21" s="16">
        <v>66.711006474397337</v>
      </c>
      <c r="S21" s="16">
        <v>15.1234844025899</v>
      </c>
      <c r="T21" s="16" t="s">
        <v>146</v>
      </c>
      <c r="U21" s="16" t="s">
        <v>146</v>
      </c>
      <c r="V21" s="16">
        <v>97.858269570336432</v>
      </c>
      <c r="W21" s="16" t="s">
        <v>146</v>
      </c>
      <c r="X21" s="16">
        <v>2974.8515597410524</v>
      </c>
      <c r="Y21" s="16">
        <v>3338.6853443202203</v>
      </c>
    </row>
    <row r="22" spans="3:25" x14ac:dyDescent="0.3">
      <c r="C22" s="7"/>
      <c r="D22" s="2" t="s">
        <v>104</v>
      </c>
      <c r="E22" s="2" t="s">
        <v>51</v>
      </c>
      <c r="F22" s="2" t="s">
        <v>146</v>
      </c>
      <c r="G22" s="16" t="s">
        <v>146</v>
      </c>
      <c r="H22" s="16">
        <v>16.738181818181729</v>
      </c>
      <c r="I22" s="16">
        <v>6.1812987012986689</v>
      </c>
      <c r="J22" s="16">
        <v>4.2509090909090688</v>
      </c>
      <c r="K22" s="16">
        <v>40.402597402597195</v>
      </c>
      <c r="L22" s="16">
        <v>3.9963636363636152</v>
      </c>
      <c r="M22" s="16">
        <v>40.421298701298497</v>
      </c>
      <c r="N22" s="16">
        <v>19.122077922077825</v>
      </c>
      <c r="O22" s="16">
        <v>395.83636363636163</v>
      </c>
      <c r="P22" s="16">
        <v>20.082077922077822</v>
      </c>
      <c r="Q22" s="16">
        <v>72.731428571428211</v>
      </c>
      <c r="R22" s="16">
        <v>3181.4005194805031</v>
      </c>
      <c r="S22" s="16">
        <v>32.086753246753084</v>
      </c>
      <c r="T22" s="16" t="s">
        <v>146</v>
      </c>
      <c r="U22" s="16">
        <v>198.87532467532364</v>
      </c>
      <c r="V22" s="16">
        <v>4200.0290909090691</v>
      </c>
      <c r="W22" s="16" t="s">
        <v>146</v>
      </c>
      <c r="X22" s="16">
        <v>7765.0025974025566</v>
      </c>
      <c r="Y22" s="16">
        <v>7625.9184415584014</v>
      </c>
    </row>
    <row r="23" spans="3:25" x14ac:dyDescent="0.3">
      <c r="C23" s="18" t="s">
        <v>145</v>
      </c>
      <c r="D23" s="2" t="s">
        <v>105</v>
      </c>
      <c r="E23" s="2" t="s">
        <v>52</v>
      </c>
      <c r="F23" s="2" t="s">
        <v>146</v>
      </c>
      <c r="G23" s="16" t="s">
        <v>146</v>
      </c>
      <c r="H23" s="16" t="s">
        <v>146</v>
      </c>
      <c r="I23" s="16" t="s">
        <v>146</v>
      </c>
      <c r="J23" s="16" t="s">
        <v>146</v>
      </c>
      <c r="K23" s="16">
        <v>1.9559897172236536</v>
      </c>
      <c r="L23" s="16" t="s">
        <v>146</v>
      </c>
      <c r="M23" s="16">
        <v>2.1044730077120861</v>
      </c>
      <c r="N23" s="16" t="s">
        <v>146</v>
      </c>
      <c r="O23" s="16">
        <v>33.870231362467919</v>
      </c>
      <c r="P23" s="16">
        <v>2.6021593830334235</v>
      </c>
      <c r="Q23" s="16">
        <v>2.3181491002570733</v>
      </c>
      <c r="R23" s="16">
        <v>11.313316195372771</v>
      </c>
      <c r="S23" s="16">
        <v>25.115064267352231</v>
      </c>
      <c r="T23" s="16" t="s">
        <v>146</v>
      </c>
      <c r="U23" s="16" t="s">
        <v>146</v>
      </c>
      <c r="V23" s="16">
        <v>11.167712082262231</v>
      </c>
      <c r="W23" s="16">
        <v>8.3290488431876746</v>
      </c>
      <c r="X23" s="19">
        <v>5294.3856041131194</v>
      </c>
      <c r="Y23" s="16">
        <v>5776.5390231362562</v>
      </c>
    </row>
    <row r="24" spans="3:25" x14ac:dyDescent="0.3">
      <c r="C24" s="7"/>
      <c r="D24" s="2" t="s">
        <v>106</v>
      </c>
      <c r="E24" s="2" t="s">
        <v>53</v>
      </c>
      <c r="F24" s="2" t="s">
        <v>146</v>
      </c>
      <c r="G24" s="16" t="s">
        <v>146</v>
      </c>
      <c r="H24" s="16" t="s">
        <v>146</v>
      </c>
      <c r="I24" s="16" t="s">
        <v>146</v>
      </c>
      <c r="J24" s="16" t="s">
        <v>146</v>
      </c>
      <c r="K24" s="16">
        <v>6.3934129514822695</v>
      </c>
      <c r="L24" s="16" t="s">
        <v>146</v>
      </c>
      <c r="M24" s="16" t="s">
        <v>146</v>
      </c>
      <c r="N24" s="16" t="s">
        <v>146</v>
      </c>
      <c r="O24" s="16" t="s">
        <v>146</v>
      </c>
      <c r="P24" s="16" t="s">
        <v>146</v>
      </c>
      <c r="Q24" s="16" t="s">
        <v>146</v>
      </c>
      <c r="R24" s="16" t="s">
        <v>146</v>
      </c>
      <c r="S24" s="16" t="s">
        <v>146</v>
      </c>
      <c r="T24" s="16" t="s">
        <v>146</v>
      </c>
      <c r="U24" s="16" t="s">
        <v>146</v>
      </c>
      <c r="V24" s="16" t="s">
        <v>146</v>
      </c>
      <c r="W24" s="16" t="s">
        <v>146</v>
      </c>
      <c r="X24" s="16">
        <v>304.54881602765005</v>
      </c>
      <c r="Y24" s="16">
        <v>1908.7491723408059</v>
      </c>
    </row>
    <row r="25" spans="3:25" x14ac:dyDescent="0.3">
      <c r="C25" s="7"/>
      <c r="D25" s="2" t="s">
        <v>107</v>
      </c>
      <c r="E25" s="2" t="s">
        <v>54</v>
      </c>
      <c r="F25" s="2" t="s">
        <v>146</v>
      </c>
      <c r="G25" s="16" t="s">
        <v>146</v>
      </c>
      <c r="H25" s="16" t="s">
        <v>146</v>
      </c>
      <c r="I25" s="16" t="s">
        <v>146</v>
      </c>
      <c r="J25" s="16" t="s">
        <v>146</v>
      </c>
      <c r="K25" s="16" t="s">
        <v>146</v>
      </c>
      <c r="L25" s="16" t="s">
        <v>146</v>
      </c>
      <c r="M25" s="16" t="s">
        <v>146</v>
      </c>
      <c r="N25" s="16" t="s">
        <v>146</v>
      </c>
      <c r="O25" s="16">
        <v>5.8907884938383441</v>
      </c>
      <c r="P25" s="16" t="s">
        <v>146</v>
      </c>
      <c r="Q25" s="16">
        <v>6.7871466258492443</v>
      </c>
      <c r="R25" s="16" t="s">
        <v>146</v>
      </c>
      <c r="S25" s="16">
        <v>6.9658091753780313</v>
      </c>
      <c r="T25" s="16" t="s">
        <v>146</v>
      </c>
      <c r="U25" s="16" t="s">
        <v>146</v>
      </c>
      <c r="V25" s="16" t="s">
        <v>146</v>
      </c>
      <c r="W25" s="16" t="s">
        <v>146</v>
      </c>
      <c r="X25" s="16">
        <v>1564.1083957466183</v>
      </c>
      <c r="Y25" s="16">
        <v>3496.2849914693502</v>
      </c>
    </row>
    <row r="26" spans="3:25" x14ac:dyDescent="0.3">
      <c r="C26" s="7"/>
      <c r="D26" s="2" t="s">
        <v>108</v>
      </c>
      <c r="E26" s="2" t="s">
        <v>55</v>
      </c>
      <c r="F26" s="2" t="s">
        <v>146</v>
      </c>
      <c r="G26" s="16" t="s">
        <v>146</v>
      </c>
      <c r="H26" s="16" t="s">
        <v>146</v>
      </c>
      <c r="I26" s="16" t="s">
        <v>146</v>
      </c>
      <c r="J26" s="16" t="s">
        <v>146</v>
      </c>
      <c r="K26" s="16">
        <v>4.2987656433700501</v>
      </c>
      <c r="L26" s="16" t="s">
        <v>146</v>
      </c>
      <c r="M26" s="16">
        <v>2.1873297647819676</v>
      </c>
      <c r="N26" s="16" t="s">
        <v>146</v>
      </c>
      <c r="O26" s="16">
        <v>3.4033310607392138</v>
      </c>
      <c r="P26" s="16" t="s">
        <v>146</v>
      </c>
      <c r="Q26" s="16">
        <v>3.8224465516606676</v>
      </c>
      <c r="R26" s="16" t="s">
        <v>146</v>
      </c>
      <c r="S26" s="16">
        <v>2.3668697791361586</v>
      </c>
      <c r="T26" s="16" t="s">
        <v>146</v>
      </c>
      <c r="U26" s="16" t="s">
        <v>146</v>
      </c>
      <c r="V26" s="16" t="s">
        <v>146</v>
      </c>
      <c r="W26" s="16" t="s">
        <v>146</v>
      </c>
      <c r="X26" s="16">
        <v>240.54510591923329</v>
      </c>
      <c r="Y26" s="16">
        <v>1107.1994808863217</v>
      </c>
    </row>
    <row r="27" spans="3:25" x14ac:dyDescent="0.3">
      <c r="C27" s="7"/>
      <c r="D27" s="2" t="s">
        <v>109</v>
      </c>
      <c r="E27" s="2" t="s">
        <v>56</v>
      </c>
      <c r="F27" s="2" t="s">
        <v>146</v>
      </c>
      <c r="G27" s="16" t="s">
        <v>146</v>
      </c>
      <c r="H27" s="16" t="s">
        <v>146</v>
      </c>
      <c r="I27" s="16" t="s">
        <v>146</v>
      </c>
      <c r="J27" s="16" t="s">
        <v>146</v>
      </c>
      <c r="K27" s="16">
        <v>3.8643918913544599</v>
      </c>
      <c r="L27" s="16" t="s">
        <v>146</v>
      </c>
      <c r="M27" s="16">
        <v>2.8691001353410921</v>
      </c>
      <c r="N27" s="16" t="s">
        <v>146</v>
      </c>
      <c r="O27" s="16">
        <v>19.15652801878203</v>
      </c>
      <c r="P27" s="16">
        <v>2.6371717467861022</v>
      </c>
      <c r="Q27" s="16">
        <v>2.0797867383940418</v>
      </c>
      <c r="R27" s="16">
        <v>259.64518255134635</v>
      </c>
      <c r="S27" s="16">
        <v>11.387197314997062</v>
      </c>
      <c r="T27" s="16" t="s">
        <v>146</v>
      </c>
      <c r="U27" s="16" t="s">
        <v>146</v>
      </c>
      <c r="V27" s="16">
        <v>243.52426735712442</v>
      </c>
      <c r="W27" s="16" t="s">
        <v>146</v>
      </c>
      <c r="X27" s="16">
        <v>7645.5728506510432</v>
      </c>
      <c r="Y27" s="16">
        <v>4766.687391690265</v>
      </c>
    </row>
    <row r="28" spans="3:25" x14ac:dyDescent="0.3">
      <c r="C28" s="7"/>
      <c r="D28" s="2" t="s">
        <v>110</v>
      </c>
      <c r="E28" s="2" t="s">
        <v>57</v>
      </c>
      <c r="F28" s="2" t="s">
        <v>146</v>
      </c>
      <c r="G28" s="16" t="s">
        <v>146</v>
      </c>
      <c r="H28" s="16" t="s">
        <v>146</v>
      </c>
      <c r="I28" s="16" t="s">
        <v>146</v>
      </c>
      <c r="J28" s="16" t="s">
        <v>146</v>
      </c>
      <c r="K28" s="16" t="s">
        <v>146</v>
      </c>
      <c r="L28" s="16" t="s">
        <v>146</v>
      </c>
      <c r="M28" s="16" t="s">
        <v>146</v>
      </c>
      <c r="N28" s="16" t="s">
        <v>146</v>
      </c>
      <c r="O28" s="16">
        <v>9.8829014175821399</v>
      </c>
      <c r="P28" s="16" t="s">
        <v>146</v>
      </c>
      <c r="Q28" s="16" t="s">
        <v>146</v>
      </c>
      <c r="R28" s="16" t="s">
        <v>146</v>
      </c>
      <c r="S28" s="16">
        <v>4.9780357776773858</v>
      </c>
      <c r="T28" s="16" t="s">
        <v>146</v>
      </c>
      <c r="U28" s="16">
        <v>270.02082819963755</v>
      </c>
      <c r="V28" s="16" t="s">
        <v>146</v>
      </c>
      <c r="W28" s="16" t="s">
        <v>146</v>
      </c>
      <c r="X28" s="16">
        <v>6280.6541435338941</v>
      </c>
      <c r="Y28" s="16">
        <v>4414.4053842784215</v>
      </c>
    </row>
    <row r="29" spans="3:25" x14ac:dyDescent="0.3">
      <c r="C29" s="7"/>
      <c r="D29" s="2" t="s">
        <v>111</v>
      </c>
      <c r="E29" s="2" t="s">
        <v>58</v>
      </c>
      <c r="F29" s="2" t="s">
        <v>146</v>
      </c>
      <c r="G29" s="16" t="s">
        <v>146</v>
      </c>
      <c r="H29" s="16" t="s">
        <v>146</v>
      </c>
      <c r="I29" s="16" t="s">
        <v>146</v>
      </c>
      <c r="J29" s="16" t="s">
        <v>146</v>
      </c>
      <c r="K29" s="16">
        <v>2.0118228262716906</v>
      </c>
      <c r="L29" s="16" t="s">
        <v>146</v>
      </c>
      <c r="M29" s="16" t="s">
        <v>146</v>
      </c>
      <c r="N29" s="16">
        <v>2.0884094432227287</v>
      </c>
      <c r="O29" s="16">
        <v>12.269049446106795</v>
      </c>
      <c r="P29" s="16" t="s">
        <v>146</v>
      </c>
      <c r="Q29" s="16">
        <v>1.2785534400090655</v>
      </c>
      <c r="R29" s="16">
        <v>98.453045511430759</v>
      </c>
      <c r="S29" s="16" t="s">
        <v>146</v>
      </c>
      <c r="T29" s="16" t="s">
        <v>146</v>
      </c>
      <c r="U29" s="16" t="s">
        <v>146</v>
      </c>
      <c r="V29" s="16">
        <v>95.878216108481809</v>
      </c>
      <c r="W29" s="16" t="s">
        <v>146</v>
      </c>
      <c r="X29" s="16">
        <v>617.66853392113205</v>
      </c>
      <c r="Y29" s="16">
        <v>2189.4278239283954</v>
      </c>
    </row>
    <row r="30" spans="3:25" x14ac:dyDescent="0.3">
      <c r="C30" s="7"/>
      <c r="D30" s="2" t="s">
        <v>112</v>
      </c>
      <c r="E30" s="2" t="s">
        <v>59</v>
      </c>
      <c r="F30" s="2" t="s">
        <v>146</v>
      </c>
      <c r="G30" s="16" t="s">
        <v>146</v>
      </c>
      <c r="H30" s="16">
        <v>3.0281269763045309</v>
      </c>
      <c r="I30" s="16" t="s">
        <v>146</v>
      </c>
      <c r="J30" s="16" t="s">
        <v>146</v>
      </c>
      <c r="K30" s="16">
        <v>9.3629455172962306</v>
      </c>
      <c r="L30" s="16" t="s">
        <v>146</v>
      </c>
      <c r="M30" s="16">
        <v>10.652329104283224</v>
      </c>
      <c r="N30" s="16">
        <v>2.0216379972087126</v>
      </c>
      <c r="O30" s="16">
        <v>17.4316963148182</v>
      </c>
      <c r="P30" s="16">
        <v>9.0588819251410904</v>
      </c>
      <c r="Q30" s="16">
        <v>17.085775867413854</v>
      </c>
      <c r="R30" s="16">
        <v>328.24915667672263</v>
      </c>
      <c r="S30" s="16">
        <v>22.462697870461113</v>
      </c>
      <c r="T30" s="16" t="s">
        <v>146</v>
      </c>
      <c r="U30" s="16">
        <v>186.38232195208496</v>
      </c>
      <c r="V30" s="16">
        <v>685.7042949385368</v>
      </c>
      <c r="W30" s="16" t="s">
        <v>146</v>
      </c>
      <c r="X30" s="16">
        <v>6775.9556362755275</v>
      </c>
      <c r="Y30" s="16">
        <v>3881.973145458795</v>
      </c>
    </row>
    <row r="31" spans="3:25" x14ac:dyDescent="0.3">
      <c r="C31" s="7"/>
      <c r="D31" s="2" t="s">
        <v>113</v>
      </c>
      <c r="E31" s="2" t="s">
        <v>60</v>
      </c>
      <c r="F31" s="2" t="s">
        <v>146</v>
      </c>
      <c r="G31" s="16" t="s">
        <v>146</v>
      </c>
      <c r="H31" s="16" t="s">
        <v>146</v>
      </c>
      <c r="I31" s="16" t="s">
        <v>146</v>
      </c>
      <c r="J31" s="16" t="s">
        <v>146</v>
      </c>
      <c r="K31" s="16" t="s">
        <v>146</v>
      </c>
      <c r="L31" s="16" t="s">
        <v>146</v>
      </c>
      <c r="M31" s="16">
        <v>14.25833264407529</v>
      </c>
      <c r="N31" s="16">
        <v>12.326094663520468</v>
      </c>
      <c r="O31" s="16">
        <v>76.909078583534409</v>
      </c>
      <c r="P31" s="16">
        <v>10.405688568856938</v>
      </c>
      <c r="Q31" s="16">
        <v>46.897955092806811</v>
      </c>
      <c r="R31" s="16">
        <v>1438.4296721564122</v>
      </c>
      <c r="S31" s="16">
        <v>38.923264002076074</v>
      </c>
      <c r="T31" s="16" t="s">
        <v>146</v>
      </c>
      <c r="U31" s="16" t="s">
        <v>146</v>
      </c>
      <c r="V31" s="16">
        <v>1910.7303424396591</v>
      </c>
      <c r="W31" s="16" t="s">
        <v>146</v>
      </c>
      <c r="X31" s="16">
        <v>7180.8225155488881</v>
      </c>
      <c r="Y31" s="16">
        <v>2287.4630500888043</v>
      </c>
    </row>
    <row r="32" spans="3:25" x14ac:dyDescent="0.3">
      <c r="C32" s="7"/>
      <c r="D32" s="2" t="s">
        <v>114</v>
      </c>
      <c r="E32" s="2" t="s">
        <v>61</v>
      </c>
      <c r="F32" s="2" t="s">
        <v>146</v>
      </c>
      <c r="G32" s="16" t="s">
        <v>146</v>
      </c>
      <c r="H32" s="16" t="s">
        <v>146</v>
      </c>
      <c r="I32" s="16" t="s">
        <v>146</v>
      </c>
      <c r="J32" s="16" t="s">
        <v>146</v>
      </c>
      <c r="K32" s="16">
        <v>3.765071119455222</v>
      </c>
      <c r="L32" s="16" t="s">
        <v>146</v>
      </c>
      <c r="M32" s="16">
        <v>2.4654903583020387</v>
      </c>
      <c r="N32" s="16" t="s">
        <v>146</v>
      </c>
      <c r="O32" s="16">
        <v>2.3775187375470543</v>
      </c>
      <c r="P32" s="16" t="s">
        <v>146</v>
      </c>
      <c r="Q32" s="16">
        <v>4.513972384453826</v>
      </c>
      <c r="R32" s="16" t="s">
        <v>146</v>
      </c>
      <c r="S32" s="16">
        <v>4.0609756619947168</v>
      </c>
      <c r="T32" s="16" t="s">
        <v>146</v>
      </c>
      <c r="U32" s="16" t="s">
        <v>146</v>
      </c>
      <c r="V32" s="16" t="s">
        <v>146</v>
      </c>
      <c r="W32" s="16" t="s">
        <v>146</v>
      </c>
      <c r="X32" s="16">
        <v>619.71722489707099</v>
      </c>
      <c r="Y32" s="16">
        <v>3557.3666953869597</v>
      </c>
    </row>
    <row r="33" spans="3:25" x14ac:dyDescent="0.3">
      <c r="C33" s="7"/>
      <c r="D33" s="2" t="s">
        <v>115</v>
      </c>
      <c r="E33" s="2" t="s">
        <v>62</v>
      </c>
      <c r="F33" s="2" t="s">
        <v>146</v>
      </c>
      <c r="G33" s="16" t="s">
        <v>146</v>
      </c>
      <c r="H33" s="16" t="s">
        <v>146</v>
      </c>
      <c r="I33" s="16" t="s">
        <v>146</v>
      </c>
      <c r="J33" s="16" t="s">
        <v>146</v>
      </c>
      <c r="K33" s="16" t="s">
        <v>146</v>
      </c>
      <c r="L33" s="16" t="s">
        <v>146</v>
      </c>
      <c r="M33" s="16" t="s">
        <v>146</v>
      </c>
      <c r="N33" s="16" t="s">
        <v>146</v>
      </c>
      <c r="O33" s="16">
        <v>26.011207814457531</v>
      </c>
      <c r="P33" s="16" t="s">
        <v>146</v>
      </c>
      <c r="Q33" s="16">
        <v>4.2343349981454041</v>
      </c>
      <c r="R33" s="16">
        <v>175.45561245068461</v>
      </c>
      <c r="S33" s="16">
        <v>10.528699851373045</v>
      </c>
      <c r="T33" s="16" t="s">
        <v>146</v>
      </c>
      <c r="U33" s="16" t="s">
        <v>146</v>
      </c>
      <c r="V33" s="16">
        <v>343.85434153461853</v>
      </c>
      <c r="W33" s="16" t="s">
        <v>146</v>
      </c>
      <c r="X33" s="16">
        <v>10233.790691815659</v>
      </c>
      <c r="Y33" s="16">
        <v>4773.0830248826924</v>
      </c>
    </row>
  </sheetData>
  <mergeCells count="1">
    <mergeCell ref="F1:Y1"/>
  </mergeCells>
  <conditionalFormatting sqref="D2:Y33">
    <cfRule type="containsText" dxfId="1" priority="1" operator="containsText" text="&gt;">
      <formula>NOT(ISERROR(SEARCH("&gt;",D2)))</formula>
    </cfRule>
    <cfRule type="containsText" dxfId="0" priority="2" operator="containsText" text="&lt;">
      <formula>NOT(ISERROR(SEARCH("&lt;",D2)))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74A35-E165-464F-BDB6-F7BA2ED58F50}">
  <sheetPr>
    <tabColor rgb="FF008000"/>
  </sheetPr>
  <dimension ref="A2:Q37"/>
  <sheetViews>
    <sheetView topLeftCell="A3" zoomScale="70" zoomScaleNormal="70" workbookViewId="0">
      <selection activeCell="M18" sqref="M18"/>
    </sheetView>
  </sheetViews>
  <sheetFormatPr baseColWidth="10" defaultColWidth="11.44140625" defaultRowHeight="14.4" x14ac:dyDescent="0.3"/>
  <cols>
    <col min="1" max="1" width="13.88671875" style="8" bestFit="1" customWidth="1"/>
    <col min="2" max="2" width="28.44140625" style="8" customWidth="1"/>
    <col min="3" max="4" width="19.33203125" style="8" customWidth="1"/>
    <col min="5" max="5" width="9.109375" style="8"/>
    <col min="6" max="6" width="19.33203125" style="8" customWidth="1"/>
    <col min="7" max="7" width="9.109375" style="8"/>
    <col min="8" max="9" width="19.33203125" style="8" customWidth="1"/>
    <col min="10" max="10" width="9.109375" style="8"/>
    <col min="11" max="11" width="19.33203125" style="8" customWidth="1"/>
    <col min="12" max="12" width="9.109375" style="8"/>
    <col min="13" max="14" width="19.33203125" style="8" customWidth="1"/>
    <col min="15" max="15" width="9.109375" style="8"/>
    <col min="16" max="16" width="19.33203125" style="8" customWidth="1"/>
    <col min="17" max="17" width="9.109375" style="8"/>
    <col min="18" max="16384" width="11.44140625" style="8"/>
  </cols>
  <sheetData>
    <row r="2" spans="1:17" ht="15" thickBot="1" x14ac:dyDescent="0.35"/>
    <row r="3" spans="1:17" ht="15" thickTop="1" x14ac:dyDescent="0.3">
      <c r="C3" s="32" t="s">
        <v>1</v>
      </c>
      <c r="D3" s="33"/>
      <c r="E3" s="33"/>
      <c r="F3" s="33"/>
      <c r="G3" s="35"/>
      <c r="H3" s="32" t="s">
        <v>2</v>
      </c>
      <c r="I3" s="33"/>
      <c r="J3" s="33"/>
      <c r="K3" s="33"/>
      <c r="L3" s="35"/>
      <c r="M3" s="32" t="s">
        <v>3</v>
      </c>
      <c r="N3" s="33"/>
      <c r="O3" s="33"/>
      <c r="P3" s="33"/>
      <c r="Q3" s="34"/>
    </row>
    <row r="4" spans="1:17" x14ac:dyDescent="0.3">
      <c r="C4" s="36" t="s">
        <v>4</v>
      </c>
      <c r="D4" s="30" t="s">
        <v>5</v>
      </c>
      <c r="E4" s="30"/>
      <c r="F4" s="30" t="s">
        <v>6</v>
      </c>
      <c r="G4" s="37"/>
      <c r="H4" s="36" t="s">
        <v>4</v>
      </c>
      <c r="I4" s="30" t="s">
        <v>5</v>
      </c>
      <c r="J4" s="30"/>
      <c r="K4" s="30" t="s">
        <v>6</v>
      </c>
      <c r="L4" s="37"/>
      <c r="M4" s="36" t="s">
        <v>4</v>
      </c>
      <c r="N4" s="30" t="s">
        <v>5</v>
      </c>
      <c r="O4" s="30"/>
      <c r="P4" s="30" t="s">
        <v>6</v>
      </c>
      <c r="Q4" s="31"/>
    </row>
    <row r="5" spans="1:17" ht="28.8" x14ac:dyDescent="0.3">
      <c r="C5" s="40"/>
      <c r="D5" s="10" t="s">
        <v>7</v>
      </c>
      <c r="E5" s="11" t="s">
        <v>8</v>
      </c>
      <c r="F5" s="10" t="s">
        <v>7</v>
      </c>
      <c r="G5" s="15" t="s">
        <v>8</v>
      </c>
      <c r="H5" s="40"/>
      <c r="I5" s="10" t="s">
        <v>7</v>
      </c>
      <c r="J5" s="11" t="s">
        <v>8</v>
      </c>
      <c r="K5" s="10" t="s">
        <v>7</v>
      </c>
      <c r="L5" s="15" t="s">
        <v>8</v>
      </c>
      <c r="M5" s="40"/>
      <c r="N5" s="10" t="s">
        <v>7</v>
      </c>
      <c r="O5" s="11" t="s">
        <v>8</v>
      </c>
      <c r="P5" s="10" t="s">
        <v>7</v>
      </c>
      <c r="Q5" s="12" t="s">
        <v>8</v>
      </c>
    </row>
    <row r="6" spans="1:17" x14ac:dyDescent="0.3">
      <c r="A6" s="30" t="s">
        <v>0</v>
      </c>
      <c r="B6" s="14" t="s">
        <v>117</v>
      </c>
      <c r="C6" s="21">
        <v>100</v>
      </c>
      <c r="D6" s="22">
        <v>111.01</v>
      </c>
      <c r="E6" s="22">
        <v>11</v>
      </c>
      <c r="F6" s="22">
        <v>104.123</v>
      </c>
      <c r="G6" s="23">
        <v>4.0999999999999996</v>
      </c>
      <c r="H6" s="21">
        <v>1000</v>
      </c>
      <c r="I6" s="22">
        <v>1034.6679999999999</v>
      </c>
      <c r="J6" s="22">
        <v>3.5</v>
      </c>
      <c r="K6" s="22">
        <v>1036.8430000000001</v>
      </c>
      <c r="L6" s="23">
        <v>3.7</v>
      </c>
      <c r="M6" s="21">
        <v>2000</v>
      </c>
      <c r="N6" s="22">
        <v>2052.8850000000002</v>
      </c>
      <c r="O6" s="22">
        <v>2.6</v>
      </c>
      <c r="P6" s="22">
        <v>2027.6130000000001</v>
      </c>
      <c r="Q6" s="24">
        <v>1.4</v>
      </c>
    </row>
    <row r="7" spans="1:17" x14ac:dyDescent="0.3">
      <c r="A7" s="30"/>
      <c r="B7" s="14" t="s">
        <v>118</v>
      </c>
      <c r="C7" s="21">
        <v>100</v>
      </c>
      <c r="D7" s="22">
        <v>96.123000000000005</v>
      </c>
      <c r="E7" s="22">
        <v>-3.9</v>
      </c>
      <c r="F7" s="22">
        <v>103.89100000000001</v>
      </c>
      <c r="G7" s="23">
        <v>3.9</v>
      </c>
      <c r="H7" s="21">
        <v>1000</v>
      </c>
      <c r="I7" s="22">
        <v>985.94</v>
      </c>
      <c r="J7" s="22">
        <v>-1.4</v>
      </c>
      <c r="K7" s="22">
        <v>1012.394</v>
      </c>
      <c r="L7" s="23">
        <v>1.2</v>
      </c>
      <c r="M7" s="21">
        <v>2000</v>
      </c>
      <c r="N7" s="22">
        <v>2023.7639999999999</v>
      </c>
      <c r="O7" s="22">
        <v>1.2</v>
      </c>
      <c r="P7" s="22">
        <v>2021.71</v>
      </c>
      <c r="Q7" s="24">
        <v>1.1000000000000001</v>
      </c>
    </row>
    <row r="8" spans="1:17" x14ac:dyDescent="0.3">
      <c r="A8" s="30"/>
      <c r="B8" s="14" t="s">
        <v>119</v>
      </c>
      <c r="C8" s="21">
        <v>100</v>
      </c>
      <c r="D8" s="22">
        <v>90.83</v>
      </c>
      <c r="E8" s="22">
        <v>-9.1999999999999993</v>
      </c>
      <c r="F8" s="22">
        <v>95.174999999999997</v>
      </c>
      <c r="G8" s="23">
        <v>-4.8</v>
      </c>
      <c r="H8" s="21">
        <v>1000</v>
      </c>
      <c r="I8" s="22">
        <v>1058.096</v>
      </c>
      <c r="J8" s="22">
        <v>5.8</v>
      </c>
      <c r="K8" s="22">
        <v>999.18600000000004</v>
      </c>
      <c r="L8" s="23">
        <v>-0.1</v>
      </c>
      <c r="M8" s="21">
        <v>2000</v>
      </c>
      <c r="N8" s="22">
        <v>2007.9760000000001</v>
      </c>
      <c r="O8" s="22">
        <v>0.4</v>
      </c>
      <c r="P8" s="22">
        <v>1953.2760000000001</v>
      </c>
      <c r="Q8" s="24">
        <v>-2.2999999999999998</v>
      </c>
    </row>
    <row r="9" spans="1:17" x14ac:dyDescent="0.3">
      <c r="A9" s="30"/>
      <c r="B9" s="14" t="s">
        <v>120</v>
      </c>
      <c r="C9" s="21">
        <v>100</v>
      </c>
      <c r="D9" s="22">
        <v>100.321</v>
      </c>
      <c r="E9" s="22">
        <v>0.3</v>
      </c>
      <c r="F9" s="22">
        <v>104.501</v>
      </c>
      <c r="G9" s="23">
        <v>4.5</v>
      </c>
      <c r="H9" s="21">
        <v>1000</v>
      </c>
      <c r="I9" s="22">
        <v>957.798</v>
      </c>
      <c r="J9" s="22">
        <v>-4.2</v>
      </c>
      <c r="K9" s="22">
        <v>994.00900000000001</v>
      </c>
      <c r="L9" s="23">
        <v>-0.6</v>
      </c>
      <c r="M9" s="21">
        <v>2000</v>
      </c>
      <c r="N9" s="22">
        <v>1969.403</v>
      </c>
      <c r="O9" s="22">
        <v>-1.5</v>
      </c>
      <c r="P9" s="22">
        <v>1989.9680000000001</v>
      </c>
      <c r="Q9" s="24">
        <v>-0.5</v>
      </c>
    </row>
    <row r="10" spans="1:17" x14ac:dyDescent="0.3">
      <c r="A10" s="30"/>
      <c r="B10" s="14" t="s">
        <v>122</v>
      </c>
      <c r="C10" s="21">
        <v>100</v>
      </c>
      <c r="D10" s="22">
        <v>98.364999999999995</v>
      </c>
      <c r="E10" s="22">
        <v>-1.6</v>
      </c>
      <c r="F10" s="22">
        <v>104.42400000000001</v>
      </c>
      <c r="G10" s="23">
        <v>4.4000000000000004</v>
      </c>
      <c r="H10" s="21">
        <v>1000</v>
      </c>
      <c r="I10" s="22">
        <v>1032.7860000000001</v>
      </c>
      <c r="J10" s="22">
        <v>3.3</v>
      </c>
      <c r="K10" s="22">
        <v>1071.1849999999999</v>
      </c>
      <c r="L10" s="23">
        <v>7.1</v>
      </c>
      <c r="M10" s="21">
        <v>2000</v>
      </c>
      <c r="N10" s="22">
        <v>2173.0160000000001</v>
      </c>
      <c r="O10" s="22">
        <v>8.6999999999999993</v>
      </c>
      <c r="P10" s="22">
        <v>2075.39</v>
      </c>
      <c r="Q10" s="24">
        <v>3.8</v>
      </c>
    </row>
    <row r="11" spans="1:17" x14ac:dyDescent="0.3">
      <c r="A11" s="30"/>
      <c r="B11" s="14" t="s">
        <v>123</v>
      </c>
      <c r="C11" s="21">
        <v>100</v>
      </c>
      <c r="D11" s="22">
        <v>92.043000000000006</v>
      </c>
      <c r="E11" s="22">
        <v>-8</v>
      </c>
      <c r="F11" s="22">
        <v>95.012</v>
      </c>
      <c r="G11" s="23">
        <v>-5</v>
      </c>
      <c r="H11" s="21">
        <v>1000</v>
      </c>
      <c r="I11" s="22">
        <v>930.93799999999999</v>
      </c>
      <c r="J11" s="22">
        <v>-6.9</v>
      </c>
      <c r="K11" s="22">
        <v>984.35299999999995</v>
      </c>
      <c r="L11" s="23">
        <v>-1.6</v>
      </c>
      <c r="M11" s="21">
        <v>2000</v>
      </c>
      <c r="N11" s="22">
        <v>2113.547</v>
      </c>
      <c r="O11" s="22">
        <v>5.7</v>
      </c>
      <c r="P11" s="22">
        <v>2100.2689999999998</v>
      </c>
      <c r="Q11" s="24">
        <v>5</v>
      </c>
    </row>
    <row r="12" spans="1:17" x14ac:dyDescent="0.3">
      <c r="A12" s="30"/>
      <c r="B12" s="14" t="s">
        <v>125</v>
      </c>
      <c r="C12" s="21">
        <v>100</v>
      </c>
      <c r="D12" s="22">
        <v>96.947000000000003</v>
      </c>
      <c r="E12" s="22">
        <v>-3.1</v>
      </c>
      <c r="F12" s="22">
        <v>100.892</v>
      </c>
      <c r="G12" s="23">
        <v>0.9</v>
      </c>
      <c r="H12" s="21">
        <v>1000</v>
      </c>
      <c r="I12" s="22">
        <v>1075.7429999999999</v>
      </c>
      <c r="J12" s="22">
        <v>7.6</v>
      </c>
      <c r="K12" s="22">
        <v>1092.5129999999999</v>
      </c>
      <c r="L12" s="23">
        <v>9.3000000000000007</v>
      </c>
      <c r="M12" s="21">
        <v>2000</v>
      </c>
      <c r="N12" s="22">
        <v>2065.933</v>
      </c>
      <c r="O12" s="22">
        <v>3.3</v>
      </c>
      <c r="P12" s="22">
        <v>2024.29</v>
      </c>
      <c r="Q12" s="24">
        <v>1.2</v>
      </c>
    </row>
    <row r="13" spans="1:17" x14ac:dyDescent="0.3">
      <c r="A13" s="30"/>
      <c r="B13" s="14" t="s">
        <v>126</v>
      </c>
      <c r="C13" s="21">
        <v>100</v>
      </c>
      <c r="D13" s="22">
        <v>92.888000000000005</v>
      </c>
      <c r="E13" s="22">
        <v>-7.1</v>
      </c>
      <c r="F13" s="22">
        <v>113.211</v>
      </c>
      <c r="G13" s="23">
        <v>13.2</v>
      </c>
      <c r="H13" s="21">
        <v>1000</v>
      </c>
      <c r="I13" s="22">
        <v>1036.713</v>
      </c>
      <c r="J13" s="22">
        <v>3.7</v>
      </c>
      <c r="K13" s="22">
        <v>1042.951</v>
      </c>
      <c r="L13" s="23">
        <v>4.3</v>
      </c>
      <c r="M13" s="21">
        <v>2000</v>
      </c>
      <c r="N13" s="22">
        <v>1941.6010000000001</v>
      </c>
      <c r="O13" s="22">
        <v>-2.9</v>
      </c>
      <c r="P13" s="22">
        <v>1962.7909999999999</v>
      </c>
      <c r="Q13" s="24">
        <v>-1.9</v>
      </c>
    </row>
    <row r="14" spans="1:17" x14ac:dyDescent="0.3">
      <c r="A14" s="30"/>
      <c r="B14" s="14" t="s">
        <v>127</v>
      </c>
      <c r="C14" s="21">
        <v>100</v>
      </c>
      <c r="D14" s="22">
        <v>96.813999999999993</v>
      </c>
      <c r="E14" s="22">
        <v>-3.2</v>
      </c>
      <c r="F14" s="22">
        <v>101.515</v>
      </c>
      <c r="G14" s="23">
        <v>1.5</v>
      </c>
      <c r="H14" s="21">
        <v>1000</v>
      </c>
      <c r="I14" s="22">
        <v>1028.2739999999999</v>
      </c>
      <c r="J14" s="22">
        <v>2.8</v>
      </c>
      <c r="K14" s="22">
        <v>1003.624</v>
      </c>
      <c r="L14" s="23">
        <v>0.4</v>
      </c>
      <c r="M14" s="21">
        <v>2000</v>
      </c>
      <c r="N14" s="22">
        <v>2022.2439999999999</v>
      </c>
      <c r="O14" s="22">
        <v>1.1000000000000001</v>
      </c>
      <c r="P14" s="22">
        <v>1868.32</v>
      </c>
      <c r="Q14" s="24">
        <v>-6.6</v>
      </c>
    </row>
    <row r="15" spans="1:17" x14ac:dyDescent="0.3">
      <c r="A15" s="30"/>
      <c r="B15" s="14" t="s">
        <v>128</v>
      </c>
      <c r="C15" s="21">
        <v>100</v>
      </c>
      <c r="D15" s="22">
        <v>96.64</v>
      </c>
      <c r="E15" s="22">
        <v>-3.4</v>
      </c>
      <c r="F15" s="22">
        <v>104.41500000000001</v>
      </c>
      <c r="G15" s="23">
        <v>4.4000000000000004</v>
      </c>
      <c r="H15" s="21">
        <v>1000</v>
      </c>
      <c r="I15" s="22">
        <v>1071.923</v>
      </c>
      <c r="J15" s="22">
        <v>7.2</v>
      </c>
      <c r="K15" s="22">
        <v>1017.042</v>
      </c>
      <c r="L15" s="23">
        <v>1.7</v>
      </c>
      <c r="M15" s="21">
        <v>2000</v>
      </c>
      <c r="N15" s="22">
        <v>2136.8879999999999</v>
      </c>
      <c r="O15" s="22">
        <v>6.8</v>
      </c>
      <c r="P15" s="22">
        <v>1881.3440000000001</v>
      </c>
      <c r="Q15" s="24">
        <v>-5.9</v>
      </c>
    </row>
    <row r="16" spans="1:17" x14ac:dyDescent="0.3">
      <c r="A16" s="30"/>
      <c r="B16" s="14" t="s">
        <v>129</v>
      </c>
      <c r="C16" s="21">
        <v>100</v>
      </c>
      <c r="D16" s="22">
        <v>106.145</v>
      </c>
      <c r="E16" s="22">
        <v>6.1</v>
      </c>
      <c r="F16" s="22">
        <v>110.089</v>
      </c>
      <c r="G16" s="23">
        <v>10.1</v>
      </c>
      <c r="H16" s="21">
        <v>1000</v>
      </c>
      <c r="I16" s="22">
        <v>1059.1320000000001</v>
      </c>
      <c r="J16" s="22">
        <v>5.9</v>
      </c>
      <c r="K16" s="22">
        <v>1064.7080000000001</v>
      </c>
      <c r="L16" s="23">
        <v>6.5</v>
      </c>
      <c r="M16" s="21">
        <v>2000</v>
      </c>
      <c r="N16" s="22">
        <v>1868.8140000000001</v>
      </c>
      <c r="O16" s="22">
        <v>-6.6</v>
      </c>
      <c r="P16" s="22">
        <v>1892.585</v>
      </c>
      <c r="Q16" s="24">
        <v>-5.4</v>
      </c>
    </row>
    <row r="17" spans="1:17" x14ac:dyDescent="0.3">
      <c r="A17" s="30"/>
      <c r="B17" s="14" t="s">
        <v>130</v>
      </c>
      <c r="C17" s="21">
        <v>100</v>
      </c>
      <c r="D17" s="22">
        <v>99.051000000000002</v>
      </c>
      <c r="E17" s="22">
        <v>-0.9</v>
      </c>
      <c r="F17" s="22">
        <v>108.06699999999999</v>
      </c>
      <c r="G17" s="23">
        <v>8.1</v>
      </c>
      <c r="H17" s="21">
        <v>1000</v>
      </c>
      <c r="I17" s="22">
        <v>1004.823</v>
      </c>
      <c r="J17" s="22">
        <v>0.5</v>
      </c>
      <c r="K17" s="22">
        <v>1018.451</v>
      </c>
      <c r="L17" s="23">
        <v>1.8</v>
      </c>
      <c r="M17" s="21">
        <v>2000</v>
      </c>
      <c r="N17" s="22">
        <v>2049.4</v>
      </c>
      <c r="O17" s="22">
        <v>2.5</v>
      </c>
      <c r="P17" s="22">
        <v>2040.6489999999999</v>
      </c>
      <c r="Q17" s="24">
        <v>2</v>
      </c>
    </row>
    <row r="18" spans="1:17" x14ac:dyDescent="0.3">
      <c r="A18" s="30"/>
      <c r="B18" s="14" t="s">
        <v>131</v>
      </c>
      <c r="C18" s="21">
        <v>1000</v>
      </c>
      <c r="D18" s="22">
        <v>974.84400000000005</v>
      </c>
      <c r="E18" s="22">
        <v>-2.5</v>
      </c>
      <c r="F18" s="22">
        <v>1030.335</v>
      </c>
      <c r="G18" s="23">
        <v>3</v>
      </c>
      <c r="H18" s="21">
        <v>10000</v>
      </c>
      <c r="I18" s="22">
        <v>10554.402</v>
      </c>
      <c r="J18" s="22">
        <v>5.5</v>
      </c>
      <c r="K18" s="22">
        <v>10611.14</v>
      </c>
      <c r="L18" s="23">
        <v>6.1</v>
      </c>
      <c r="M18" s="21">
        <v>20000</v>
      </c>
      <c r="N18" s="22">
        <v>20226.682000000001</v>
      </c>
      <c r="O18" s="22">
        <v>1.1000000000000001</v>
      </c>
      <c r="P18" s="22">
        <v>19406.034</v>
      </c>
      <c r="Q18" s="24">
        <v>-3</v>
      </c>
    </row>
    <row r="19" spans="1:17" x14ac:dyDescent="0.3">
      <c r="A19" s="30"/>
      <c r="B19" s="14" t="s">
        <v>132</v>
      </c>
      <c r="C19" s="21">
        <v>100</v>
      </c>
      <c r="D19" s="22">
        <v>100.622</v>
      </c>
      <c r="E19" s="22">
        <v>0.6</v>
      </c>
      <c r="F19" s="22">
        <v>102.084</v>
      </c>
      <c r="G19" s="23">
        <v>2.1</v>
      </c>
      <c r="H19" s="21">
        <v>1000</v>
      </c>
      <c r="I19" s="22">
        <v>976.12599999999998</v>
      </c>
      <c r="J19" s="22">
        <v>-2.4</v>
      </c>
      <c r="K19" s="22">
        <v>973.68799999999999</v>
      </c>
      <c r="L19" s="23">
        <v>-2.6</v>
      </c>
      <c r="M19" s="21">
        <v>2000</v>
      </c>
      <c r="N19" s="22">
        <v>2021.163</v>
      </c>
      <c r="O19" s="22">
        <v>1.1000000000000001</v>
      </c>
      <c r="P19" s="22">
        <v>2030.297</v>
      </c>
      <c r="Q19" s="24">
        <v>1.5</v>
      </c>
    </row>
    <row r="20" spans="1:17" x14ac:dyDescent="0.3">
      <c r="A20" s="30"/>
      <c r="B20" s="14" t="s">
        <v>133</v>
      </c>
      <c r="C20" s="21">
        <v>100</v>
      </c>
      <c r="D20" s="22">
        <v>93.001000000000005</v>
      </c>
      <c r="E20" s="22">
        <v>-7</v>
      </c>
      <c r="F20" s="22">
        <v>105.71299999999999</v>
      </c>
      <c r="G20" s="23">
        <v>5.7</v>
      </c>
      <c r="H20" s="21">
        <v>1000</v>
      </c>
      <c r="I20" s="22">
        <v>1095.913</v>
      </c>
      <c r="J20" s="22">
        <v>9.6</v>
      </c>
      <c r="K20" s="22">
        <v>1125.8320000000001</v>
      </c>
      <c r="L20" s="23">
        <v>12.6</v>
      </c>
      <c r="M20" s="21">
        <v>2000</v>
      </c>
      <c r="N20" s="22">
        <v>2135.2950000000001</v>
      </c>
      <c r="O20" s="22">
        <v>6.8</v>
      </c>
      <c r="P20" s="22">
        <v>2212.7950000000001</v>
      </c>
      <c r="Q20" s="24">
        <v>10.6</v>
      </c>
    </row>
    <row r="21" spans="1:17" x14ac:dyDescent="0.3">
      <c r="A21" s="30"/>
      <c r="B21" s="14" t="s">
        <v>134</v>
      </c>
      <c r="C21" s="21">
        <v>1000</v>
      </c>
      <c r="D21" s="22">
        <v>906.04100000000005</v>
      </c>
      <c r="E21" s="22">
        <v>-9.4</v>
      </c>
      <c r="F21" s="22">
        <v>1039.181</v>
      </c>
      <c r="G21" s="23">
        <v>3.9</v>
      </c>
      <c r="H21" s="21">
        <v>10000</v>
      </c>
      <c r="I21" s="22">
        <v>10018.579</v>
      </c>
      <c r="J21" s="22">
        <v>0.2</v>
      </c>
      <c r="K21" s="22">
        <v>10765.601000000001</v>
      </c>
      <c r="L21" s="23">
        <v>7.7</v>
      </c>
      <c r="M21" s="21">
        <v>20000</v>
      </c>
      <c r="N21" s="22">
        <v>22402.453000000001</v>
      </c>
      <c r="O21" s="22">
        <v>12</v>
      </c>
      <c r="P21" s="22">
        <v>21618.008999999998</v>
      </c>
      <c r="Q21" s="24">
        <v>8.1</v>
      </c>
    </row>
    <row r="22" spans="1:17" x14ac:dyDescent="0.3">
      <c r="A22" s="30"/>
      <c r="B22" s="14" t="s">
        <v>135</v>
      </c>
      <c r="C22" s="21">
        <v>1000</v>
      </c>
      <c r="D22" s="22">
        <v>1026.501</v>
      </c>
      <c r="E22" s="22">
        <v>2.7</v>
      </c>
      <c r="F22" s="22">
        <v>1023.197</v>
      </c>
      <c r="G22" s="23">
        <v>2.2999999999999998</v>
      </c>
      <c r="H22" s="21">
        <v>10000</v>
      </c>
      <c r="I22" s="22">
        <v>10340.171</v>
      </c>
      <c r="J22" s="22">
        <v>3.4</v>
      </c>
      <c r="K22" s="22">
        <v>10455.055</v>
      </c>
      <c r="L22" s="23">
        <v>4.5999999999999996</v>
      </c>
      <c r="M22" s="21">
        <v>20000</v>
      </c>
      <c r="N22" s="22">
        <v>19781.402999999998</v>
      </c>
      <c r="O22" s="22">
        <v>-1.1000000000000001</v>
      </c>
      <c r="P22" s="22">
        <v>18443.144</v>
      </c>
      <c r="Q22" s="24">
        <v>-7.8</v>
      </c>
    </row>
    <row r="23" spans="1:17" x14ac:dyDescent="0.3">
      <c r="A23" s="30"/>
      <c r="B23" s="14" t="s">
        <v>136</v>
      </c>
      <c r="C23" s="21">
        <v>100</v>
      </c>
      <c r="D23" s="22">
        <v>103.815</v>
      </c>
      <c r="E23" s="22">
        <v>3.8</v>
      </c>
      <c r="F23" s="22">
        <v>109.922</v>
      </c>
      <c r="G23" s="23">
        <v>9.9</v>
      </c>
      <c r="H23" s="21">
        <v>1000</v>
      </c>
      <c r="I23" s="22">
        <v>1077.3979999999999</v>
      </c>
      <c r="J23" s="22">
        <v>7.7</v>
      </c>
      <c r="K23" s="22">
        <v>1123.32</v>
      </c>
      <c r="L23" s="23">
        <v>12.3</v>
      </c>
      <c r="M23" s="21">
        <v>2000</v>
      </c>
      <c r="N23" s="22">
        <v>1903.0340000000001</v>
      </c>
      <c r="O23" s="22">
        <v>-4.8</v>
      </c>
      <c r="P23" s="22">
        <v>2138.288</v>
      </c>
      <c r="Q23" s="24">
        <v>6.9</v>
      </c>
    </row>
    <row r="24" spans="1:17" x14ac:dyDescent="0.3">
      <c r="A24" s="30"/>
      <c r="B24" s="14" t="s">
        <v>137</v>
      </c>
      <c r="C24" s="21">
        <v>1000</v>
      </c>
      <c r="D24" s="22">
        <v>919.19100000000003</v>
      </c>
      <c r="E24" s="22">
        <v>-8.1</v>
      </c>
      <c r="F24" s="22">
        <v>1018.192</v>
      </c>
      <c r="G24" s="23">
        <v>1.8</v>
      </c>
      <c r="H24" s="21">
        <v>10000</v>
      </c>
      <c r="I24" s="22">
        <v>9990.259</v>
      </c>
      <c r="J24" s="22">
        <v>-0.1</v>
      </c>
      <c r="K24" s="22">
        <v>10063.455</v>
      </c>
      <c r="L24" s="23">
        <v>0.6</v>
      </c>
      <c r="M24" s="21">
        <v>20000</v>
      </c>
      <c r="N24" s="22">
        <v>19837.008999999998</v>
      </c>
      <c r="O24" s="22">
        <v>-0.8</v>
      </c>
      <c r="P24" s="22">
        <v>19050.48</v>
      </c>
      <c r="Q24" s="24">
        <v>-4.7</v>
      </c>
    </row>
    <row r="25" spans="1:17" ht="15" thickBot="1" x14ac:dyDescent="0.35">
      <c r="A25" s="30"/>
      <c r="B25" s="14" t="s">
        <v>138</v>
      </c>
      <c r="C25" s="25">
        <v>3000</v>
      </c>
      <c r="D25" s="26">
        <v>3229.1950000000002</v>
      </c>
      <c r="E25" s="26">
        <v>7.6</v>
      </c>
      <c r="F25" s="26">
        <v>3387.1370000000002</v>
      </c>
      <c r="G25" s="27">
        <v>12.9</v>
      </c>
      <c r="H25" s="25">
        <v>30000</v>
      </c>
      <c r="I25" s="26">
        <v>31051.048999999999</v>
      </c>
      <c r="J25" s="26">
        <v>3.5</v>
      </c>
      <c r="K25" s="26">
        <v>32781.309000000001</v>
      </c>
      <c r="L25" s="27">
        <v>9.3000000000000007</v>
      </c>
      <c r="M25" s="25">
        <v>60000</v>
      </c>
      <c r="N25" s="26">
        <v>63236.341999999997</v>
      </c>
      <c r="O25" s="26">
        <v>5.4</v>
      </c>
      <c r="P25" s="26">
        <v>68434.512000000002</v>
      </c>
      <c r="Q25" s="28">
        <v>14.1</v>
      </c>
    </row>
    <row r="26" spans="1:17" ht="15.6" thickTop="1" thickBot="1" x14ac:dyDescent="0.35"/>
    <row r="27" spans="1:17" ht="15" thickTop="1" x14ac:dyDescent="0.3">
      <c r="C27" s="32" t="s">
        <v>1</v>
      </c>
      <c r="D27" s="33"/>
      <c r="E27" s="33"/>
      <c r="F27" s="33"/>
      <c r="G27" s="35"/>
      <c r="H27" s="32" t="s">
        <v>2</v>
      </c>
      <c r="I27" s="33"/>
      <c r="J27" s="33"/>
      <c r="K27" s="33"/>
      <c r="L27" s="35"/>
      <c r="M27" s="32" t="s">
        <v>3</v>
      </c>
      <c r="N27" s="33"/>
      <c r="O27" s="33"/>
      <c r="P27" s="33"/>
      <c r="Q27" s="34"/>
    </row>
    <row r="28" spans="1:17" x14ac:dyDescent="0.3">
      <c r="C28" s="36" t="s">
        <v>4</v>
      </c>
      <c r="D28" s="30" t="s">
        <v>5</v>
      </c>
      <c r="E28" s="30"/>
      <c r="F28" s="30" t="s">
        <v>6</v>
      </c>
      <c r="G28" s="37"/>
      <c r="H28" s="36" t="s">
        <v>4</v>
      </c>
      <c r="I28" s="30" t="s">
        <v>5</v>
      </c>
      <c r="J28" s="30"/>
      <c r="K28" s="30" t="s">
        <v>6</v>
      </c>
      <c r="L28" s="37"/>
      <c r="M28" s="36" t="s">
        <v>4</v>
      </c>
      <c r="N28" s="30" t="s">
        <v>5</v>
      </c>
      <c r="O28" s="30"/>
      <c r="P28" s="30" t="s">
        <v>6</v>
      </c>
      <c r="Q28" s="31"/>
    </row>
    <row r="29" spans="1:17" ht="28.8" x14ac:dyDescent="0.3">
      <c r="C29" s="40"/>
      <c r="D29" s="10" t="s">
        <v>7</v>
      </c>
      <c r="E29" s="11" t="s">
        <v>8</v>
      </c>
      <c r="F29" s="10" t="s">
        <v>7</v>
      </c>
      <c r="G29" s="15" t="s">
        <v>8</v>
      </c>
      <c r="H29" s="40"/>
      <c r="I29" s="10" t="s">
        <v>7</v>
      </c>
      <c r="J29" s="11" t="s">
        <v>8</v>
      </c>
      <c r="K29" s="10" t="s">
        <v>7</v>
      </c>
      <c r="L29" s="15" t="s">
        <v>8</v>
      </c>
      <c r="M29" s="40"/>
      <c r="N29" s="10" t="s">
        <v>7</v>
      </c>
      <c r="O29" s="11" t="s">
        <v>8</v>
      </c>
      <c r="P29" s="10" t="s">
        <v>7</v>
      </c>
      <c r="Q29" s="12" t="s">
        <v>8</v>
      </c>
    </row>
    <row r="30" spans="1:17" x14ac:dyDescent="0.3">
      <c r="A30" s="30" t="s">
        <v>82</v>
      </c>
      <c r="B30" s="14" t="s">
        <v>119</v>
      </c>
      <c r="C30" s="21">
        <v>100</v>
      </c>
      <c r="D30" s="22">
        <v>99.088999999999999</v>
      </c>
      <c r="E30" s="22">
        <v>-0.9</v>
      </c>
      <c r="F30" s="22">
        <v>98.751999999999995</v>
      </c>
      <c r="G30" s="23">
        <v>-1.2</v>
      </c>
      <c r="H30" s="21">
        <v>1000</v>
      </c>
      <c r="I30" s="22">
        <v>929.673</v>
      </c>
      <c r="J30" s="22">
        <v>-7</v>
      </c>
      <c r="K30" s="22">
        <v>1029.5830000000001</v>
      </c>
      <c r="L30" s="23">
        <v>3</v>
      </c>
      <c r="M30" s="21">
        <v>2000</v>
      </c>
      <c r="N30" s="22">
        <v>2126.038</v>
      </c>
      <c r="O30" s="22">
        <v>6.3</v>
      </c>
      <c r="P30" s="22">
        <v>2143.7420000000002</v>
      </c>
      <c r="Q30" s="24">
        <v>7.2</v>
      </c>
    </row>
    <row r="31" spans="1:17" x14ac:dyDescent="0.3">
      <c r="A31" s="30"/>
      <c r="B31" s="14" t="s">
        <v>123</v>
      </c>
      <c r="C31" s="21">
        <v>100</v>
      </c>
      <c r="D31" s="22">
        <v>86.641000000000005</v>
      </c>
      <c r="E31" s="22">
        <v>-13.4</v>
      </c>
      <c r="F31" s="22">
        <v>87.314999999999998</v>
      </c>
      <c r="G31" s="23">
        <v>-12.7</v>
      </c>
      <c r="H31" s="21">
        <v>1000</v>
      </c>
      <c r="I31" s="22">
        <v>936.96500000000003</v>
      </c>
      <c r="J31" s="22">
        <v>-6.3</v>
      </c>
      <c r="K31" s="22">
        <v>1018.175</v>
      </c>
      <c r="L31" s="23">
        <v>1.8</v>
      </c>
      <c r="M31" s="21">
        <v>2000</v>
      </c>
      <c r="N31" s="22">
        <v>2015.655</v>
      </c>
      <c r="O31" s="22">
        <v>0.8</v>
      </c>
      <c r="P31" s="22">
        <v>2007.1690000000001</v>
      </c>
      <c r="Q31" s="24">
        <v>0.4</v>
      </c>
    </row>
    <row r="32" spans="1:17" x14ac:dyDescent="0.3">
      <c r="A32" s="30"/>
      <c r="B32" s="14" t="s">
        <v>126</v>
      </c>
      <c r="C32" s="21">
        <v>100</v>
      </c>
      <c r="D32" s="22">
        <v>110.384</v>
      </c>
      <c r="E32" s="22">
        <v>10.4</v>
      </c>
      <c r="F32" s="22">
        <v>107.693</v>
      </c>
      <c r="G32" s="23">
        <v>7.7</v>
      </c>
      <c r="H32" s="21">
        <v>1000</v>
      </c>
      <c r="I32" s="22">
        <v>947.77300000000002</v>
      </c>
      <c r="J32" s="22">
        <v>-5.2</v>
      </c>
      <c r="K32" s="22">
        <v>1020.6849999999999</v>
      </c>
      <c r="L32" s="23">
        <v>2.1</v>
      </c>
      <c r="M32" s="21">
        <v>2000</v>
      </c>
      <c r="N32" s="22">
        <v>1949.931</v>
      </c>
      <c r="O32" s="22">
        <v>-2.5</v>
      </c>
      <c r="P32" s="22">
        <v>1990.8430000000001</v>
      </c>
      <c r="Q32" s="24">
        <v>-0.5</v>
      </c>
    </row>
    <row r="33" spans="1:17" x14ac:dyDescent="0.3">
      <c r="A33" s="30"/>
      <c r="B33" s="14" t="s">
        <v>130</v>
      </c>
      <c r="C33" s="21">
        <v>100</v>
      </c>
      <c r="D33" s="22">
        <v>110.081</v>
      </c>
      <c r="E33" s="22">
        <v>10.1</v>
      </c>
      <c r="F33" s="22">
        <v>107.688</v>
      </c>
      <c r="G33" s="23">
        <v>7.7</v>
      </c>
      <c r="H33" s="21">
        <v>1000</v>
      </c>
      <c r="I33" s="22">
        <v>1001.163</v>
      </c>
      <c r="J33" s="22">
        <v>0.1</v>
      </c>
      <c r="K33" s="22">
        <v>1020.409</v>
      </c>
      <c r="L33" s="23">
        <v>2</v>
      </c>
      <c r="M33" s="21">
        <v>2000</v>
      </c>
      <c r="N33" s="22">
        <v>1926.31</v>
      </c>
      <c r="O33" s="22">
        <v>-3.7</v>
      </c>
      <c r="P33" s="22">
        <v>1942.1849999999999</v>
      </c>
      <c r="Q33" s="24">
        <v>-2.9</v>
      </c>
    </row>
    <row r="34" spans="1:17" x14ac:dyDescent="0.3">
      <c r="A34" s="30"/>
      <c r="B34" s="14" t="s">
        <v>131</v>
      </c>
      <c r="C34" s="21">
        <v>1000</v>
      </c>
      <c r="D34" s="22">
        <v>1017.394</v>
      </c>
      <c r="E34" s="22">
        <v>1.7</v>
      </c>
      <c r="F34" s="22">
        <v>1031.664</v>
      </c>
      <c r="G34" s="23">
        <v>3.2</v>
      </c>
      <c r="H34" s="21">
        <v>10000</v>
      </c>
      <c r="I34" s="22">
        <v>9933.5689999999995</v>
      </c>
      <c r="J34" s="22">
        <v>-0.7</v>
      </c>
      <c r="K34" s="22">
        <v>9599.4220000000005</v>
      </c>
      <c r="L34" s="23">
        <v>-4</v>
      </c>
      <c r="M34" s="21">
        <v>20000</v>
      </c>
      <c r="N34" s="22">
        <v>21094.881000000001</v>
      </c>
      <c r="O34" s="22">
        <v>5.5</v>
      </c>
      <c r="P34" s="22">
        <v>19371.682000000001</v>
      </c>
      <c r="Q34" s="24">
        <v>-3.1</v>
      </c>
    </row>
    <row r="35" spans="1:17" x14ac:dyDescent="0.3">
      <c r="A35" s="30"/>
      <c r="B35" s="14" t="s">
        <v>135</v>
      </c>
      <c r="C35" s="21">
        <v>1000</v>
      </c>
      <c r="D35" s="22">
        <v>992.31200000000001</v>
      </c>
      <c r="E35" s="22">
        <v>-0.8</v>
      </c>
      <c r="F35" s="22">
        <v>968.62400000000002</v>
      </c>
      <c r="G35" s="23">
        <v>-3.1</v>
      </c>
      <c r="H35" s="21">
        <v>10000</v>
      </c>
      <c r="I35" s="22">
        <v>9801.6370000000006</v>
      </c>
      <c r="J35" s="22">
        <v>-2</v>
      </c>
      <c r="K35" s="22">
        <v>10247.459000000001</v>
      </c>
      <c r="L35" s="23">
        <v>2.5</v>
      </c>
      <c r="M35" s="21">
        <v>20000</v>
      </c>
      <c r="N35" s="22">
        <v>19208.562999999998</v>
      </c>
      <c r="O35" s="22">
        <v>-4</v>
      </c>
      <c r="P35" s="22">
        <v>17648.138999999999</v>
      </c>
      <c r="Q35" s="24">
        <v>-11.8</v>
      </c>
    </row>
    <row r="36" spans="1:17" ht="15" thickBot="1" x14ac:dyDescent="0.35">
      <c r="A36" s="30"/>
      <c r="B36" s="14" t="s">
        <v>137</v>
      </c>
      <c r="C36" s="25">
        <v>1000</v>
      </c>
      <c r="D36" s="26">
        <v>943.35199999999998</v>
      </c>
      <c r="E36" s="26">
        <v>-5.7</v>
      </c>
      <c r="F36" s="26">
        <v>891.10599999999999</v>
      </c>
      <c r="G36" s="27">
        <v>-10.9</v>
      </c>
      <c r="H36" s="25">
        <v>10000</v>
      </c>
      <c r="I36" s="26">
        <v>10293.378000000001</v>
      </c>
      <c r="J36" s="26">
        <v>2.9</v>
      </c>
      <c r="K36" s="26">
        <v>10010.388999999999</v>
      </c>
      <c r="L36" s="27">
        <v>0.1</v>
      </c>
      <c r="M36" s="25">
        <v>20000</v>
      </c>
      <c r="N36" s="26">
        <v>19474.453000000001</v>
      </c>
      <c r="O36" s="26">
        <v>-2.6</v>
      </c>
      <c r="P36" s="26">
        <v>19737.026000000002</v>
      </c>
      <c r="Q36" s="28">
        <v>-1.3</v>
      </c>
    </row>
    <row r="37" spans="1:17" ht="15" thickTop="1" x14ac:dyDescent="0.3"/>
  </sheetData>
  <mergeCells count="26">
    <mergeCell ref="A30:A36"/>
    <mergeCell ref="C28:C29"/>
    <mergeCell ref="D28:E28"/>
    <mergeCell ref="F28:G28"/>
    <mergeCell ref="H28:H29"/>
    <mergeCell ref="A6:A25"/>
    <mergeCell ref="C27:G27"/>
    <mergeCell ref="H27:L27"/>
    <mergeCell ref="M27:Q27"/>
    <mergeCell ref="M28:M29"/>
    <mergeCell ref="N28:O28"/>
    <mergeCell ref="P28:Q28"/>
    <mergeCell ref="I28:J28"/>
    <mergeCell ref="K28:L28"/>
    <mergeCell ref="C3:G3"/>
    <mergeCell ref="H3:L3"/>
    <mergeCell ref="M3:Q3"/>
    <mergeCell ref="C4:C5"/>
    <mergeCell ref="D4:E4"/>
    <mergeCell ref="F4:G4"/>
    <mergeCell ref="H4:H5"/>
    <mergeCell ref="I4:J4"/>
    <mergeCell ref="K4:L4"/>
    <mergeCell ref="M4:M5"/>
    <mergeCell ref="N4:O4"/>
    <mergeCell ref="P4:Q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2C47-F56C-492D-A733-F4398220503E}">
  <sheetPr>
    <tabColor rgb="FF008000"/>
  </sheetPr>
  <dimension ref="A3:N21"/>
  <sheetViews>
    <sheetView topLeftCell="A7" workbookViewId="0">
      <selection activeCell="G11" sqref="G11"/>
    </sheetView>
  </sheetViews>
  <sheetFormatPr baseColWidth="10" defaultRowHeight="14.4" x14ac:dyDescent="0.3"/>
  <cols>
    <col min="1" max="1" width="18.6640625" customWidth="1"/>
    <col min="2" max="2" width="9.109375"/>
    <col min="3" max="14" width="16.109375" customWidth="1"/>
  </cols>
  <sheetData>
    <row r="3" spans="1:14" x14ac:dyDescent="0.3">
      <c r="A3" s="38" t="s">
        <v>0</v>
      </c>
      <c r="B3" s="9"/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4">
        <v>11</v>
      </c>
      <c r="N3" s="4">
        <v>12</v>
      </c>
    </row>
    <row r="4" spans="1:14" x14ac:dyDescent="0.3">
      <c r="A4" s="38"/>
      <c r="B4" s="13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6" t="s">
        <v>17</v>
      </c>
      <c r="K4" s="6" t="s">
        <v>18</v>
      </c>
      <c r="L4" s="6" t="s">
        <v>19</v>
      </c>
      <c r="M4" s="2" t="s">
        <v>32</v>
      </c>
      <c r="N4" s="2" t="s">
        <v>33</v>
      </c>
    </row>
    <row r="5" spans="1:14" x14ac:dyDescent="0.3">
      <c r="A5" s="38"/>
      <c r="B5" s="13" t="s">
        <v>20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43</v>
      </c>
      <c r="M5" s="2" t="s">
        <v>44</v>
      </c>
      <c r="N5" s="2" t="s">
        <v>45</v>
      </c>
    </row>
    <row r="6" spans="1:14" x14ac:dyDescent="0.3">
      <c r="A6" s="38"/>
      <c r="B6" s="13" t="s">
        <v>21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56</v>
      </c>
      <c r="N6" s="2" t="s">
        <v>57</v>
      </c>
    </row>
    <row r="7" spans="1:14" x14ac:dyDescent="0.3">
      <c r="A7" s="38"/>
      <c r="B7" s="13" t="s">
        <v>22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62</v>
      </c>
      <c r="H7" s="29" t="s">
        <v>29</v>
      </c>
      <c r="I7" s="29" t="s">
        <v>30</v>
      </c>
      <c r="J7" s="29" t="s">
        <v>31</v>
      </c>
      <c r="K7" s="2"/>
      <c r="L7" s="2"/>
      <c r="M7" s="2"/>
      <c r="N7" s="2"/>
    </row>
    <row r="8" spans="1:14" x14ac:dyDescent="0.3">
      <c r="A8" s="38"/>
      <c r="B8" s="13" t="s">
        <v>23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">
      <c r="A9" s="38"/>
      <c r="B9" s="13" t="s">
        <v>24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3">
      <c r="A10" s="38"/>
      <c r="B10" s="13" t="s">
        <v>25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3">
      <c r="A11" s="38"/>
      <c r="B11" s="13" t="s">
        <v>26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3" spans="1:14" x14ac:dyDescent="0.3">
      <c r="A13" s="38" t="s">
        <v>83</v>
      </c>
      <c r="B13" s="9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4">
        <v>12</v>
      </c>
    </row>
    <row r="14" spans="1:14" x14ac:dyDescent="0.3">
      <c r="A14" s="38"/>
      <c r="B14" s="13" t="s">
        <v>9</v>
      </c>
      <c r="C14" s="5" t="s">
        <v>10</v>
      </c>
      <c r="D14" s="5" t="s">
        <v>11</v>
      </c>
      <c r="E14" s="5" t="s">
        <v>12</v>
      </c>
      <c r="F14" s="5" t="s">
        <v>13</v>
      </c>
      <c r="G14" s="5" t="s">
        <v>14</v>
      </c>
      <c r="H14" s="5" t="s">
        <v>15</v>
      </c>
      <c r="I14" s="5" t="s">
        <v>16</v>
      </c>
      <c r="J14" s="6" t="s">
        <v>17</v>
      </c>
      <c r="K14" s="6" t="s">
        <v>18</v>
      </c>
      <c r="L14" s="6" t="s">
        <v>19</v>
      </c>
      <c r="M14" s="2" t="s">
        <v>32</v>
      </c>
      <c r="N14" s="2" t="s">
        <v>33</v>
      </c>
    </row>
    <row r="15" spans="1:14" x14ac:dyDescent="0.3">
      <c r="A15" s="38"/>
      <c r="B15" s="13" t="s">
        <v>20</v>
      </c>
      <c r="C15" s="2" t="s">
        <v>35</v>
      </c>
      <c r="D15" s="2" t="s">
        <v>36</v>
      </c>
      <c r="E15" s="2" t="s">
        <v>37</v>
      </c>
      <c r="F15" s="2" t="s">
        <v>38</v>
      </c>
      <c r="G15" s="2" t="s">
        <v>40</v>
      </c>
      <c r="H15" s="2" t="s">
        <v>41</v>
      </c>
      <c r="I15" s="2" t="s">
        <v>47</v>
      </c>
      <c r="J15" s="2" t="s">
        <v>52</v>
      </c>
      <c r="K15" s="29" t="s">
        <v>29</v>
      </c>
      <c r="L15" s="29" t="s">
        <v>30</v>
      </c>
      <c r="M15" s="29" t="s">
        <v>31</v>
      </c>
      <c r="N15" s="2"/>
    </row>
    <row r="16" spans="1:14" x14ac:dyDescent="0.3">
      <c r="A16" s="38"/>
      <c r="B16" s="13" t="s">
        <v>21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s="38"/>
      <c r="B17" s="13" t="s">
        <v>22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">
      <c r="A18" s="38"/>
      <c r="B18" s="13" t="s">
        <v>23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">
      <c r="A19" s="38"/>
      <c r="B19" s="13" t="s">
        <v>24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3">
      <c r="A20" s="38"/>
      <c r="B20" s="13" t="s">
        <v>25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3">
      <c r="A21" s="38"/>
      <c r="B21" s="13" t="s">
        <v>26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</sheetData>
  <mergeCells count="2">
    <mergeCell ref="A3:A11"/>
    <mergeCell ref="A13:A2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38D46-A6B7-42FE-93A0-155C2B97D0F8}">
  <sheetPr>
    <tabColor rgb="FF008000"/>
  </sheetPr>
  <dimension ref="B3:F23"/>
  <sheetViews>
    <sheetView tabSelected="1" workbookViewId="0">
      <selection activeCell="F19" sqref="F19"/>
    </sheetView>
  </sheetViews>
  <sheetFormatPr baseColWidth="10" defaultColWidth="11.44140625" defaultRowHeight="14.4" x14ac:dyDescent="0.3"/>
  <cols>
    <col min="1" max="1" width="11.44140625" style="8"/>
    <col min="2" max="2" width="12.6640625" style="8" customWidth="1"/>
    <col min="3" max="3" width="28.44140625" style="8" customWidth="1"/>
    <col min="4" max="4" width="5" style="8" customWidth="1"/>
    <col min="5" max="5" width="12.6640625" style="8" customWidth="1"/>
    <col min="6" max="6" width="28.44140625" style="8" customWidth="1"/>
    <col min="7" max="16384" width="11.44140625" style="8"/>
  </cols>
  <sheetData>
    <row r="3" spans="2:6" x14ac:dyDescent="0.3">
      <c r="B3" s="17" t="s">
        <v>139</v>
      </c>
      <c r="C3" s="3" t="s">
        <v>116</v>
      </c>
      <c r="E3" s="17" t="s">
        <v>139</v>
      </c>
      <c r="F3" s="3" t="s">
        <v>116</v>
      </c>
    </row>
    <row r="4" spans="2:6" x14ac:dyDescent="0.3">
      <c r="B4" s="3" t="s">
        <v>117</v>
      </c>
      <c r="C4" s="3" t="s">
        <v>63</v>
      </c>
      <c r="E4" s="3" t="s">
        <v>129</v>
      </c>
      <c r="F4" s="3" t="s">
        <v>71</v>
      </c>
    </row>
    <row r="5" spans="2:6" x14ac:dyDescent="0.3">
      <c r="B5" s="3" t="s">
        <v>118</v>
      </c>
      <c r="C5" s="3" t="s">
        <v>64</v>
      </c>
      <c r="E5" s="3" t="s">
        <v>130</v>
      </c>
      <c r="F5" s="3" t="s">
        <v>72</v>
      </c>
    </row>
    <row r="6" spans="2:6" x14ac:dyDescent="0.3">
      <c r="B6" s="3" t="s">
        <v>119</v>
      </c>
      <c r="C6" s="3" t="s">
        <v>65</v>
      </c>
      <c r="E6" s="3" t="s">
        <v>131</v>
      </c>
      <c r="F6" s="3" t="s">
        <v>73</v>
      </c>
    </row>
    <row r="7" spans="2:6" x14ac:dyDescent="0.3">
      <c r="B7" s="3" t="s">
        <v>120</v>
      </c>
      <c r="C7" s="3" t="s">
        <v>121</v>
      </c>
      <c r="E7" s="3" t="s">
        <v>132</v>
      </c>
      <c r="F7" s="3" t="s">
        <v>74</v>
      </c>
    </row>
    <row r="8" spans="2:6" x14ac:dyDescent="0.3">
      <c r="B8" s="3" t="s">
        <v>122</v>
      </c>
      <c r="C8" s="3" t="s">
        <v>66</v>
      </c>
      <c r="E8" s="3" t="s">
        <v>133</v>
      </c>
      <c r="F8" s="3" t="s">
        <v>75</v>
      </c>
    </row>
    <row r="9" spans="2:6" x14ac:dyDescent="0.3">
      <c r="B9" s="3" t="s">
        <v>123</v>
      </c>
      <c r="C9" s="3" t="s">
        <v>124</v>
      </c>
      <c r="E9" s="3" t="s">
        <v>134</v>
      </c>
      <c r="F9" s="3" t="s">
        <v>76</v>
      </c>
    </row>
    <row r="10" spans="2:6" x14ac:dyDescent="0.3">
      <c r="B10" s="3" t="s">
        <v>125</v>
      </c>
      <c r="C10" s="3" t="s">
        <v>67</v>
      </c>
      <c r="E10" s="3" t="s">
        <v>135</v>
      </c>
      <c r="F10" s="3" t="s">
        <v>77</v>
      </c>
    </row>
    <row r="11" spans="2:6" x14ac:dyDescent="0.3">
      <c r="B11" s="3" t="s">
        <v>126</v>
      </c>
      <c r="C11" s="3" t="s">
        <v>68</v>
      </c>
      <c r="E11" s="3" t="s">
        <v>136</v>
      </c>
      <c r="F11" s="3" t="s">
        <v>78</v>
      </c>
    </row>
    <row r="12" spans="2:6" x14ac:dyDescent="0.3">
      <c r="B12" s="3" t="s">
        <v>127</v>
      </c>
      <c r="C12" s="3" t="s">
        <v>69</v>
      </c>
      <c r="E12" s="3" t="s">
        <v>137</v>
      </c>
      <c r="F12" s="3" t="s">
        <v>79</v>
      </c>
    </row>
    <row r="13" spans="2:6" x14ac:dyDescent="0.3">
      <c r="B13" s="3" t="s">
        <v>128</v>
      </c>
      <c r="C13" s="3" t="s">
        <v>70</v>
      </c>
      <c r="E13" s="3" t="s">
        <v>138</v>
      </c>
      <c r="F13" s="3" t="s">
        <v>80</v>
      </c>
    </row>
    <row r="17" s="8" customFormat="1" x14ac:dyDescent="0.3"/>
    <row r="18" s="8" customFormat="1" x14ac:dyDescent="0.3"/>
    <row r="19" s="8" customFormat="1" x14ac:dyDescent="0.3"/>
    <row r="20" s="8" customFormat="1" x14ac:dyDescent="0.3"/>
    <row r="21" s="8" customFormat="1" x14ac:dyDescent="0.3"/>
    <row r="22" s="8" customFormat="1" x14ac:dyDescent="0.3"/>
    <row r="23" s="8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Normalisation_Data set client</vt:lpstr>
      <vt:lpstr>Quality Control</vt:lpstr>
      <vt:lpstr>Plate Map</vt:lpstr>
      <vt:lpstr>List of molecule abbreviations </vt:lpstr>
    </vt:vector>
  </TitlesOfParts>
  <Company>Universite de Tours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Lefevre</dc:creator>
  <cp:lastModifiedBy>Camille Dupuy</cp:lastModifiedBy>
  <dcterms:created xsi:type="dcterms:W3CDTF">2025-01-09T13:43:57Z</dcterms:created>
  <dcterms:modified xsi:type="dcterms:W3CDTF">2025-01-23T09:42:56Z</dcterms:modified>
</cp:coreProperties>
</file>