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odrigo Formiga\Downloads\"/>
    </mc:Choice>
  </mc:AlternateContent>
  <xr:revisionPtr revIDLastSave="0" documentId="13_ncr:1_{5844BCC5-05DC-4BFE-9B42-1CB5FEFE2DD8}" xr6:coauthVersionLast="47" xr6:coauthVersionMax="47" xr10:uidLastSave="{00000000-0000-0000-0000-000000000000}"/>
  <bookViews>
    <workbookView xWindow="-120" yWindow="-120" windowWidth="29040" windowHeight="15720" tabRatio="606" xr2:uid="{953BCB1B-EE07-4E3E-8A1D-4DE7FA93F1D3}"/>
  </bookViews>
  <sheets>
    <sheet name="Normalisation_Data set client" sheetId="3" r:id="rId1"/>
    <sheet name="Quality control" sheetId="4" r:id="rId2"/>
    <sheet name="Plate Map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<sst xmlns="http://schemas.openxmlformats.org/spreadsheetml/2006/main" count="380" uniqueCount="196">
  <si>
    <t>Malic Acid</t>
  </si>
  <si>
    <t>12.6</t>
  </si>
  <si>
    <t>-5.7</t>
  </si>
  <si>
    <t>6.8</t>
  </si>
  <si>
    <t>4.8</t>
  </si>
  <si>
    <t>-6.6</t>
  </si>
  <si>
    <t>-4.7</t>
  </si>
  <si>
    <t>5.1</t>
  </si>
  <si>
    <t>-10.0</t>
  </si>
  <si>
    <t>Glucose</t>
  </si>
  <si>
    <t>-8.9</t>
  </si>
  <si>
    <t>1.8</t>
  </si>
  <si>
    <t>10.4</t>
  </si>
  <si>
    <t>-4.4</t>
  </si>
  <si>
    <t>-12.1</t>
  </si>
  <si>
    <t>-3.4</t>
  </si>
  <si>
    <t>Lactic acid</t>
  </si>
  <si>
    <t>-1.6</t>
  </si>
  <si>
    <t>8.0</t>
  </si>
  <si>
    <t>-2.6</t>
  </si>
  <si>
    <t>-6.5</t>
  </si>
  <si>
    <t>-6.3</t>
  </si>
  <si>
    <t>-6.0</t>
  </si>
  <si>
    <t>Itaconic Acid</t>
  </si>
  <si>
    <t>-0.7</t>
  </si>
  <si>
    <t>-2.3</t>
  </si>
  <si>
    <t>-3.8</t>
  </si>
  <si>
    <t>-1.5</t>
  </si>
  <si>
    <t>1.9</t>
  </si>
  <si>
    <t>Succinic Acid</t>
  </si>
  <si>
    <t>4.4</t>
  </si>
  <si>
    <t>1.2</t>
  </si>
  <si>
    <t>-2.8</t>
  </si>
  <si>
    <t>-2.0</t>
  </si>
  <si>
    <t>-5.0</t>
  </si>
  <si>
    <t>-1.1</t>
  </si>
  <si>
    <t>2.6</t>
  </si>
  <si>
    <t>Fumaric Acid</t>
  </si>
  <si>
    <t>10.3</t>
  </si>
  <si>
    <t>-3.0</t>
  </si>
  <si>
    <t>-7.0</t>
  </si>
  <si>
    <t>3.6</t>
  </si>
  <si>
    <t>5.9</t>
  </si>
  <si>
    <t>-4.8</t>
  </si>
  <si>
    <t>Citric Acid</t>
  </si>
  <si>
    <t>3.4</t>
  </si>
  <si>
    <t>-6.7</t>
  </si>
  <si>
    <t>9.3</t>
  </si>
  <si>
    <t>1.5</t>
  </si>
  <si>
    <t>-7.1</t>
  </si>
  <si>
    <t>Isocitric Acid</t>
  </si>
  <si>
    <t>-9.7</t>
  </si>
  <si>
    <t>-0.3</t>
  </si>
  <si>
    <t>-7.7</t>
  </si>
  <si>
    <t>0.0</t>
  </si>
  <si>
    <t>Aconitic Acid</t>
  </si>
  <si>
    <t>-4.5</t>
  </si>
  <si>
    <t>-4.1</t>
  </si>
  <si>
    <t>11.8</t>
  </si>
  <si>
    <t>Ketoglutaric Acid</t>
  </si>
  <si>
    <t>3.8</t>
  </si>
  <si>
    <t>7.1</t>
  </si>
  <si>
    <t>6.6</t>
  </si>
  <si>
    <t>Low Level QC</t>
  </si>
  <si>
    <t>Medium Level QC</t>
  </si>
  <si>
    <t>High Level QC</t>
  </si>
  <si>
    <t>Beginning of the batch</t>
  </si>
  <si>
    <t>End of the batch</t>
  </si>
  <si>
    <t>% Diff</t>
  </si>
  <si>
    <t>A</t>
  </si>
  <si>
    <t>L1</t>
  </si>
  <si>
    <t>L2</t>
  </si>
  <si>
    <t>L3</t>
  </si>
  <si>
    <t>L4</t>
  </si>
  <si>
    <t>L5</t>
  </si>
  <si>
    <t>L6</t>
  </si>
  <si>
    <t>L7</t>
  </si>
  <si>
    <t>QC_Low_1</t>
  </si>
  <si>
    <t>QC_Medium_1</t>
  </si>
  <si>
    <t>QC_High_1</t>
  </si>
  <si>
    <t>B</t>
  </si>
  <si>
    <t>C</t>
  </si>
  <si>
    <t>D</t>
  </si>
  <si>
    <t>E</t>
  </si>
  <si>
    <t>F</t>
  </si>
  <si>
    <t>G</t>
  </si>
  <si>
    <t>H</t>
  </si>
  <si>
    <t>Zone Quanti</t>
  </si>
  <si>
    <t>ID</t>
  </si>
  <si>
    <t>Sample ID Tours</t>
  </si>
  <si>
    <t>0058-A-B 08/06/2023</t>
  </si>
  <si>
    <t>0058 A-B 02/08/2023</t>
  </si>
  <si>
    <t>0059 B-M 18/07/2023</t>
  </si>
  <si>
    <t>0059 B-M 20/09/2023</t>
  </si>
  <si>
    <t>0061 S-C 03/08/2023</t>
  </si>
  <si>
    <t>0061 S-C 18/10/2023</t>
  </si>
  <si>
    <t>0062 D-J 04/08/2023</t>
  </si>
  <si>
    <t>0062 D-J 18/10/2023</t>
  </si>
  <si>
    <t>0064 M-J 05/09/2023</t>
  </si>
  <si>
    <t>0064 M-J 20/11/2023</t>
  </si>
  <si>
    <t>0067 H-S 02/01/2024</t>
  </si>
  <si>
    <t>0067 H-S 04/03/2024</t>
  </si>
  <si>
    <t>0068 B-G 04/01/2024</t>
  </si>
  <si>
    <t>0068 B-G 22/04/2024</t>
  </si>
  <si>
    <t>0070 R-S 09/01/2024</t>
  </si>
  <si>
    <t>0070 R-S 19/03/2024</t>
  </si>
  <si>
    <t>0071 G-E 17/01/2024</t>
  </si>
  <si>
    <t>0071 G-E 06/05/2024</t>
  </si>
  <si>
    <t>0073 L-P 06/02/2024</t>
  </si>
  <si>
    <t>0073 L-P 09/04/2024</t>
  </si>
  <si>
    <t>0075 L-M 20/03/2024</t>
  </si>
  <si>
    <t>0075 L-M 10/06/2024</t>
  </si>
  <si>
    <t>HD1 0806</t>
  </si>
  <si>
    <t>HD2 1405</t>
  </si>
  <si>
    <t>HD3 1303</t>
  </si>
  <si>
    <t>HD4 0408</t>
  </si>
  <si>
    <t>HD5 0509</t>
  </si>
  <si>
    <t>HD6 0201</t>
  </si>
  <si>
    <t>HD7 0401</t>
  </si>
  <si>
    <t>HD8 0401</t>
  </si>
  <si>
    <t>HD9 0901</t>
  </si>
  <si>
    <t>HD10 2201</t>
  </si>
  <si>
    <t>HD11 0602</t>
  </si>
  <si>
    <t>2024_3298</t>
  </si>
  <si>
    <t>2024_3299</t>
  </si>
  <si>
    <t>2024_3300</t>
  </si>
  <si>
    <t>2024_3301</t>
  </si>
  <si>
    <t>2024_3302</t>
  </si>
  <si>
    <t>2024_3303</t>
  </si>
  <si>
    <t>2024_3304</t>
  </si>
  <si>
    <t>2024_3305</t>
  </si>
  <si>
    <t>2024_3306</t>
  </si>
  <si>
    <t>2024_3307</t>
  </si>
  <si>
    <t>2024_3308</t>
  </si>
  <si>
    <t>2024_3309</t>
  </si>
  <si>
    <t>2024_3310</t>
  </si>
  <si>
    <t>2024_3311</t>
  </si>
  <si>
    <t>2024_3312</t>
  </si>
  <si>
    <t>2024_3313</t>
  </si>
  <si>
    <t>2024_3314</t>
  </si>
  <si>
    <t>2024_3315</t>
  </si>
  <si>
    <t>2024_3316</t>
  </si>
  <si>
    <t>2024_3317</t>
  </si>
  <si>
    <t>2024_3318</t>
  </si>
  <si>
    <t>2024_3319</t>
  </si>
  <si>
    <t>2024_3320</t>
  </si>
  <si>
    <t>2024_3321</t>
  </si>
  <si>
    <t>2024_3322</t>
  </si>
  <si>
    <t>2024_3323</t>
  </si>
  <si>
    <t>2024_3324</t>
  </si>
  <si>
    <t>2024_3325</t>
  </si>
  <si>
    <t>2024_3326</t>
  </si>
  <si>
    <t>2024_3327</t>
  </si>
  <si>
    <t>2024_3328</t>
  </si>
  <si>
    <t>2024_3329</t>
  </si>
  <si>
    <t>2024_3330</t>
  </si>
  <si>
    <t>Concentration calculée (µM)</t>
  </si>
  <si>
    <t>Comments</t>
  </si>
  <si>
    <t>Dilution protocol : Lactic acid</t>
  </si>
  <si>
    <t>Theorical Concentrations (µM)</t>
  </si>
  <si>
    <t>Calculated Concentrations (µM)</t>
  </si>
  <si>
    <t>Batch_01</t>
  </si>
  <si>
    <t>Batch_Dilution</t>
  </si>
  <si>
    <t>QC_Low_2</t>
  </si>
  <si>
    <t>QC_Medium_2</t>
  </si>
  <si>
    <t>QC_High_2</t>
  </si>
  <si>
    <t>Diluted sample 2024_3321</t>
  </si>
  <si>
    <t>Diluted sample 2024_3322</t>
  </si>
  <si>
    <t>Diluted sample 2024_3324</t>
  </si>
  <si>
    <t>LLOQ (µM)</t>
  </si>
  <si>
    <t>ULOQ (µM)</t>
  </si>
  <si>
    <t>&lt; LLOQ</t>
  </si>
  <si>
    <t>Before FMT</t>
  </si>
  <si>
    <t>Cosmic 27</t>
  </si>
  <si>
    <t>After FMT</t>
  </si>
  <si>
    <t>Cosmic 31</t>
  </si>
  <si>
    <t>Cosmic 29</t>
  </si>
  <si>
    <t>Cosmic 36</t>
  </si>
  <si>
    <t>Cosmic 32</t>
  </si>
  <si>
    <t>Cosmic 39</t>
  </si>
  <si>
    <t>Cosmic 34</t>
  </si>
  <si>
    <t>Cosmic 40</t>
  </si>
  <si>
    <t>Cosmic 35</t>
  </si>
  <si>
    <t>Cosmic 41</t>
  </si>
  <si>
    <t>Cosmic 46</t>
  </si>
  <si>
    <t>Cosmic 52</t>
  </si>
  <si>
    <t>Cosmic 45</t>
  </si>
  <si>
    <t>Cosmic 57</t>
  </si>
  <si>
    <t>Cosmic 9</t>
  </si>
  <si>
    <t>Cosmic 53</t>
  </si>
  <si>
    <t>Cosmic 48</t>
  </si>
  <si>
    <t>Cosmic 58</t>
  </si>
  <si>
    <t>Cosmic 51</t>
  </si>
  <si>
    <t>Cosmic 56</t>
  </si>
  <si>
    <t>Cosmic 54</t>
  </si>
  <si>
    <t>Cosmic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</si>
</sst>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62">
    <xf numFmtId="0" fontId="0" fillId="0" borderId="0" xfId="0"/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/>
    </xf>
    <xf numFmtId="0" fontId="0" fillId="5" borderId="25" xfId="0" applyFill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4" borderId="7" xfId="0" applyNumberFormat="1" applyFill="1" applyBorder="1" applyAlignment="1">
      <alignment horizontal="center"/>
    </xf>
    <xf numFmtId="49" fontId="3" fillId="4" borderId="7" xfId="0" applyNumberFormat="1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  <xf numFmtId="0" fontId="0" fillId="5" borderId="0" xfId="0" applyFill="1"/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/>
    </xf>
    <xf numFmtId="2" fontId="0" fillId="5" borderId="6" xfId="0" applyNumberForma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2" fontId="0" fillId="5" borderId="10" xfId="0" applyNumberFormat="1" applyFill="1" applyBorder="1" applyAlignment="1">
      <alignment horizontal="center" vertical="center"/>
    </xf>
    <xf numFmtId="2" fontId="0" fillId="5" borderId="11" xfId="0" applyNumberFormat="1" applyFill="1" applyBorder="1" applyAlignment="1">
      <alignment horizontal="center" vertical="center"/>
    </xf>
    <xf numFmtId="2" fontId="0" fillId="5" borderId="12" xfId="0" applyNumberFormat="1" applyFill="1" applyBorder="1" applyAlignment="1">
      <alignment horizontal="center" vertical="center"/>
    </xf>
    <xf numFmtId="2" fontId="0" fillId="5" borderId="13" xfId="0" applyNumberFormat="1" applyFill="1" applyBorder="1" applyAlignment="1">
      <alignment horizontal="center" vertical="center"/>
    </xf>
    <xf numFmtId="2" fontId="0" fillId="5" borderId="14" xfId="0" applyNumberForma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</cellXfs>
  <cellStyles count="3">
    <cellStyle name="Hyperlink" xfId="1" xr:uid="{21ECC72C-2925-4764-9CDE-A4BBE01F4A5A}"/>
    <cellStyle name="Normal" xfId="0" builtinId="0"/>
    <cellStyle name="Normal 2" xfId="2" xr:uid="{1F45C2E3-B0ED-4514-83AB-73B1F941E4C0}"/>
  </cellStyles>
  <dxfs count="1">
    <dxf>
      <font>
        <color auto="1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1C72-E798-449D-8ADC-510F30951D5D}">
  <sheetPr codeName="Feuil3"/>
  <dimension ref="A1:N40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7" sqref="A27"/>
    </sheetView>
  </sheetViews>
  <sheetFormatPr defaultColWidth="11.42578125" defaultRowHeight="15" x14ac:dyDescent="0.25"/>
  <cols>
    <col min="2" max="2" width="28.28515625" customWidth="1"/>
    <col min="3" max="3" width="23" customWidth="1"/>
    <col min="4" max="4" width="17.7109375" customWidth="1"/>
    <col min="5" max="14" width="17.42578125" customWidth="1"/>
  </cols>
  <sheetData>
    <row r="1" spans="1:14" ht="36" customHeight="1" x14ac:dyDescent="0.25">
      <c r="E1" s="44" t="s">
        <v>156</v>
      </c>
      <c r="F1" s="44"/>
      <c r="G1" s="44"/>
      <c r="H1" s="44"/>
      <c r="I1" s="44"/>
      <c r="J1" s="44"/>
      <c r="K1" s="44"/>
      <c r="L1" s="44"/>
      <c r="M1" s="44"/>
      <c r="N1" s="44"/>
    </row>
    <row r="2" spans="1:14" x14ac:dyDescent="0.25">
      <c r="B2" s="21" t="s">
        <v>157</v>
      </c>
      <c r="C2" s="21" t="s">
        <v>88</v>
      </c>
      <c r="D2" s="2" t="s">
        <v>89</v>
      </c>
      <c r="E2" s="7" t="s">
        <v>0</v>
      </c>
      <c r="F2" s="7" t="s">
        <v>9</v>
      </c>
      <c r="G2" s="7" t="s">
        <v>16</v>
      </c>
      <c r="H2" s="7" t="s">
        <v>23</v>
      </c>
      <c r="I2" s="7" t="s">
        <v>29</v>
      </c>
      <c r="J2" s="7" t="s">
        <v>37</v>
      </c>
      <c r="K2" s="7" t="s">
        <v>44</v>
      </c>
      <c r="L2" s="7" t="s">
        <v>50</v>
      </c>
      <c r="M2" s="7" t="s">
        <v>55</v>
      </c>
      <c r="N2" s="7" t="s">
        <v>59</v>
      </c>
    </row>
    <row r="3" spans="1:14" x14ac:dyDescent="0.25">
      <c r="A3" s="59" t="s">
        <v>172</v>
      </c>
      <c r="B3" s="59" t="s">
        <v>173</v>
      </c>
      <c r="C3" s="18" t="s">
        <v>90</v>
      </c>
      <c r="D3" s="2" t="s">
        <v>123</v>
      </c>
      <c r="E3" s="20">
        <v>3.4777</v>
      </c>
      <c r="F3" s="20">
        <v>71.596000000000004</v>
      </c>
      <c r="G3" s="20">
        <v>3174.1692000000003</v>
      </c>
      <c r="H3" s="20" t="s">
        <v>171</v>
      </c>
      <c r="I3" s="20">
        <v>3.8140999999999998</v>
      </c>
      <c r="J3" s="20">
        <v>0.88179999999999992</v>
      </c>
      <c r="K3" s="20">
        <v>94.018971000000008</v>
      </c>
      <c r="L3" s="20">
        <v>2.6176439999999999</v>
      </c>
      <c r="M3" s="20">
        <v>8.4960000000000004</v>
      </c>
      <c r="N3" s="20">
        <v>13.4992</v>
      </c>
    </row>
    <row r="4" spans="1:14" x14ac:dyDescent="0.25">
      <c r="A4" s="60" t="s">
        <v>174</v>
      </c>
      <c r="B4" s="60" t="s">
        <v>175</v>
      </c>
      <c r="C4" s="18" t="s">
        <v>91</v>
      </c>
      <c r="D4" s="2" t="s">
        <v>124</v>
      </c>
      <c r="E4" s="20">
        <v>2.4910000000000001</v>
      </c>
      <c r="F4" s="20">
        <v>60.402099999999997</v>
      </c>
      <c r="G4" s="20">
        <v>2458.6799000000001</v>
      </c>
      <c r="H4" s="20" t="s">
        <v>171</v>
      </c>
      <c r="I4" s="20">
        <v>3.5769000000000002</v>
      </c>
      <c r="J4" s="20">
        <v>1.0241</v>
      </c>
      <c r="K4" s="20">
        <v>124.873856</v>
      </c>
      <c r="L4" s="20">
        <v>4.8013370000000002</v>
      </c>
      <c r="M4" s="20">
        <v>11.8148</v>
      </c>
      <c r="N4" s="20">
        <v>8.3112000000000013</v>
      </c>
    </row>
    <row r="5" spans="1:14" x14ac:dyDescent="0.25">
      <c r="A5" s="59" t="s">
        <v>172</v>
      </c>
      <c r="B5" s="59" t="s">
        <v>176</v>
      </c>
      <c r="C5" s="18" t="s">
        <v>92</v>
      </c>
      <c r="D5" s="2" t="s">
        <v>125</v>
      </c>
      <c r="E5" s="20">
        <v>7.9811999999999994</v>
      </c>
      <c r="F5" s="20">
        <v>58.148400000000002</v>
      </c>
      <c r="G5" s="20">
        <v>3637.0292000000004</v>
      </c>
      <c r="H5" s="20" t="s">
        <v>171</v>
      </c>
      <c r="I5" s="20">
        <v>5.5789</v>
      </c>
      <c r="J5" s="20">
        <v>2.4152</v>
      </c>
      <c r="K5" s="20">
        <v>135.810935</v>
      </c>
      <c r="L5" s="20">
        <v>8.9826060000000005</v>
      </c>
      <c r="M5" s="20">
        <v>15.366200000000001</v>
      </c>
      <c r="N5" s="20">
        <v>12.0823</v>
      </c>
    </row>
    <row r="6" spans="1:14" x14ac:dyDescent="0.25">
      <c r="A6" s="60" t="s">
        <v>174</v>
      </c>
      <c r="B6" s="60" t="s">
        <v>177</v>
      </c>
      <c r="C6" s="18" t="s">
        <v>93</v>
      </c>
      <c r="D6" s="2" t="s">
        <v>126</v>
      </c>
      <c r="E6" s="20">
        <v>8.6678999999999995</v>
      </c>
      <c r="F6" s="20">
        <v>66.7042</v>
      </c>
      <c r="G6" s="20">
        <v>4443.3099000000002</v>
      </c>
      <c r="H6" s="20" t="s">
        <v>171</v>
      </c>
      <c r="I6" s="20">
        <v>5.5585000000000004</v>
      </c>
      <c r="J6" s="20">
        <v>2.4831999999999996</v>
      </c>
      <c r="K6" s="20">
        <v>148.72196199999999</v>
      </c>
      <c r="L6" s="20">
        <v>10.222839</v>
      </c>
      <c r="M6" s="20">
        <v>13.631500000000001</v>
      </c>
      <c r="N6" s="20">
        <v>10.0594</v>
      </c>
    </row>
    <row r="7" spans="1:14" x14ac:dyDescent="0.25">
      <c r="A7" s="59" t="s">
        <v>172</v>
      </c>
      <c r="B7" s="59" t="s">
        <v>178</v>
      </c>
      <c r="C7" s="18" t="s">
        <v>94</v>
      </c>
      <c r="D7" s="2" t="s">
        <v>127</v>
      </c>
      <c r="E7" s="20">
        <v>2.1846999999999999</v>
      </c>
      <c r="F7" s="20">
        <v>45.447699999999998</v>
      </c>
      <c r="G7" s="20">
        <v>1653.8671999999999</v>
      </c>
      <c r="H7" s="20" t="s">
        <v>171</v>
      </c>
      <c r="I7" s="20">
        <v>3.6748000000000003</v>
      </c>
      <c r="J7" s="20">
        <v>0.68940000000000001</v>
      </c>
      <c r="K7" s="20">
        <v>86.40504700000001</v>
      </c>
      <c r="L7" s="20">
        <v>3.6639309999999998</v>
      </c>
      <c r="M7" s="20">
        <v>5.1432000000000002</v>
      </c>
      <c r="N7" s="20">
        <v>6.1421999999999999</v>
      </c>
    </row>
    <row r="8" spans="1:14" x14ac:dyDescent="0.25">
      <c r="A8" s="60" t="s">
        <v>174</v>
      </c>
      <c r="B8" s="60" t="s">
        <v>179</v>
      </c>
      <c r="C8" s="18" t="s">
        <v>95</v>
      </c>
      <c r="D8" s="2" t="s">
        <v>128</v>
      </c>
      <c r="E8" s="20">
        <v>1.7589000000000001</v>
      </c>
      <c r="F8" s="20">
        <v>290.71786099999997</v>
      </c>
      <c r="G8" s="20">
        <v>3106.0677999999998</v>
      </c>
      <c r="H8" s="20" t="s">
        <v>171</v>
      </c>
      <c r="I8" s="20">
        <v>2.5638000000000001</v>
      </c>
      <c r="J8" s="20">
        <v>0.62770000000000004</v>
      </c>
      <c r="K8" s="20">
        <v>71.197202999999988</v>
      </c>
      <c r="L8" s="20">
        <v>0.439836</v>
      </c>
      <c r="M8" s="20">
        <v>0.49860000000000004</v>
      </c>
      <c r="N8" s="20">
        <v>4.3961999999999994</v>
      </c>
    </row>
    <row r="9" spans="1:14" x14ac:dyDescent="0.25">
      <c r="A9" s="59" t="s">
        <v>172</v>
      </c>
      <c r="B9" s="59" t="s">
        <v>180</v>
      </c>
      <c r="C9" s="18" t="s">
        <v>96</v>
      </c>
      <c r="D9" s="2" t="s">
        <v>129</v>
      </c>
      <c r="E9" s="20">
        <v>3.7394000000000003</v>
      </c>
      <c r="F9" s="20">
        <v>56.12</v>
      </c>
      <c r="G9" s="20">
        <v>2407.7148999999999</v>
      </c>
      <c r="H9" s="20" t="s">
        <v>171</v>
      </c>
      <c r="I9" s="20">
        <v>5.0890000000000004</v>
      </c>
      <c r="J9" s="20">
        <v>0.88970000000000005</v>
      </c>
      <c r="K9" s="20">
        <v>133.89355300000003</v>
      </c>
      <c r="L9" s="20">
        <v>6.2566620000000004</v>
      </c>
      <c r="M9" s="20">
        <v>9.6127000000000002</v>
      </c>
      <c r="N9" s="20">
        <v>4.8896000000000006</v>
      </c>
    </row>
    <row r="10" spans="1:14" x14ac:dyDescent="0.25">
      <c r="A10" s="60" t="s">
        <v>174</v>
      </c>
      <c r="B10" s="60" t="s">
        <v>181</v>
      </c>
      <c r="C10" s="18" t="s">
        <v>97</v>
      </c>
      <c r="D10" s="2" t="s">
        <v>130</v>
      </c>
      <c r="E10" s="20">
        <v>3.7129000000000003</v>
      </c>
      <c r="F10" s="20">
        <v>37.267699999999998</v>
      </c>
      <c r="G10" s="20">
        <v>2732.2955999999999</v>
      </c>
      <c r="H10" s="20" t="s">
        <v>171</v>
      </c>
      <c r="I10" s="20">
        <v>4.5318999999999994</v>
      </c>
      <c r="J10" s="20">
        <v>0.93570000000000009</v>
      </c>
      <c r="K10" s="20">
        <v>138.61868799999999</v>
      </c>
      <c r="L10" s="20">
        <v>8.9440939999999998</v>
      </c>
      <c r="M10" s="20">
        <v>11.6492</v>
      </c>
      <c r="N10" s="20">
        <v>6.2394999999999996</v>
      </c>
    </row>
    <row r="11" spans="1:14" x14ac:dyDescent="0.25">
      <c r="A11" s="59" t="s">
        <v>172</v>
      </c>
      <c r="B11" s="59" t="s">
        <v>182</v>
      </c>
      <c r="C11" s="18" t="s">
        <v>98</v>
      </c>
      <c r="D11" s="2" t="s">
        <v>131</v>
      </c>
      <c r="E11" s="20">
        <v>5.7978999999999994</v>
      </c>
      <c r="F11" s="20">
        <v>40.722300000000004</v>
      </c>
      <c r="G11" s="20">
        <v>2951.2332000000001</v>
      </c>
      <c r="H11" s="20" t="s">
        <v>171</v>
      </c>
      <c r="I11" s="20">
        <v>4.2984999999999998</v>
      </c>
      <c r="J11" s="20">
        <v>1.55</v>
      </c>
      <c r="K11" s="20">
        <v>149.78402</v>
      </c>
      <c r="L11" s="20">
        <v>4.823728</v>
      </c>
      <c r="M11" s="20">
        <v>12.072299999999998</v>
      </c>
      <c r="N11" s="20">
        <v>5.7426000000000004</v>
      </c>
    </row>
    <row r="12" spans="1:14" x14ac:dyDescent="0.25">
      <c r="A12" s="60" t="s">
        <v>174</v>
      </c>
      <c r="B12" s="60" t="s">
        <v>183</v>
      </c>
      <c r="C12" s="18" t="s">
        <v>99</v>
      </c>
      <c r="D12" s="2" t="s">
        <v>132</v>
      </c>
      <c r="E12" s="20">
        <v>3.0388999999999999</v>
      </c>
      <c r="F12" s="20">
        <v>53.494399999999999</v>
      </c>
      <c r="G12" s="20">
        <v>2145.7858999999999</v>
      </c>
      <c r="H12" s="20" t="s">
        <v>171</v>
      </c>
      <c r="I12" s="20">
        <v>3.2690999999999999</v>
      </c>
      <c r="J12" s="20">
        <v>0.70289999999999997</v>
      </c>
      <c r="K12" s="20">
        <v>116.697064</v>
      </c>
      <c r="L12" s="20">
        <v>3.0922160000000001</v>
      </c>
      <c r="M12" s="20">
        <v>7.1808999999999994</v>
      </c>
      <c r="N12" s="20">
        <v>3.6663999999999999</v>
      </c>
    </row>
    <row r="13" spans="1:14" x14ac:dyDescent="0.25">
      <c r="A13" s="59" t="s">
        <v>172</v>
      </c>
      <c r="B13" s="59" t="s">
        <v>184</v>
      </c>
      <c r="C13" s="18" t="s">
        <v>100</v>
      </c>
      <c r="D13" s="2" t="s">
        <v>133</v>
      </c>
      <c r="E13" s="20">
        <v>3.0354999999999999</v>
      </c>
      <c r="F13" s="20">
        <v>44.940199999999997</v>
      </c>
      <c r="G13" s="20">
        <v>2423.1097999999997</v>
      </c>
      <c r="H13" s="20" t="s">
        <v>171</v>
      </c>
      <c r="I13" s="20">
        <v>3.5335999999999999</v>
      </c>
      <c r="J13" s="20">
        <v>0.75349999999999995</v>
      </c>
      <c r="K13" s="20">
        <v>134.29633799999999</v>
      </c>
      <c r="L13" s="20">
        <v>4.1672569999999993</v>
      </c>
      <c r="M13" s="20">
        <v>9.8699999999999992</v>
      </c>
      <c r="N13" s="20">
        <v>6.1446000000000005</v>
      </c>
    </row>
    <row r="14" spans="1:14" x14ac:dyDescent="0.25">
      <c r="A14" s="60" t="s">
        <v>174</v>
      </c>
      <c r="B14" s="60" t="s">
        <v>185</v>
      </c>
      <c r="C14" s="18" t="s">
        <v>101</v>
      </c>
      <c r="D14" s="2" t="s">
        <v>134</v>
      </c>
      <c r="E14" s="20">
        <v>2.3441000000000001</v>
      </c>
      <c r="F14" s="20">
        <v>57.494199999999999</v>
      </c>
      <c r="G14" s="20">
        <v>2153.1181000000001</v>
      </c>
      <c r="H14" s="20" t="s">
        <v>171</v>
      </c>
      <c r="I14" s="20">
        <v>3.7831000000000001</v>
      </c>
      <c r="J14" s="20">
        <v>0.73099999999999998</v>
      </c>
      <c r="K14" s="20">
        <v>133.581143</v>
      </c>
      <c r="L14" s="20">
        <v>4.97302</v>
      </c>
      <c r="M14" s="20">
        <v>8.3291000000000004</v>
      </c>
      <c r="N14" s="20">
        <v>4.7291000000000007</v>
      </c>
    </row>
    <row r="15" spans="1:14" x14ac:dyDescent="0.25">
      <c r="A15" s="59" t="s">
        <v>172</v>
      </c>
      <c r="B15" s="59" t="s">
        <v>186</v>
      </c>
      <c r="C15" s="18" t="s">
        <v>102</v>
      </c>
      <c r="D15" s="2" t="s">
        <v>135</v>
      </c>
      <c r="E15" s="20">
        <v>5.9225000000000003</v>
      </c>
      <c r="F15" s="20">
        <v>129.80869999999999</v>
      </c>
      <c r="G15" s="20">
        <v>2647.9462999999996</v>
      </c>
      <c r="H15" s="20" t="s">
        <v>171</v>
      </c>
      <c r="I15" s="20">
        <v>5.0431999999999997</v>
      </c>
      <c r="J15" s="20">
        <v>1.6057999999999999</v>
      </c>
      <c r="K15" s="20">
        <v>136.195986</v>
      </c>
      <c r="L15" s="20">
        <v>8.105874</v>
      </c>
      <c r="M15" s="20">
        <v>11.1782</v>
      </c>
      <c r="N15" s="20">
        <v>6.6183000000000005</v>
      </c>
    </row>
    <row r="16" spans="1:14" x14ac:dyDescent="0.25">
      <c r="A16" s="60" t="s">
        <v>174</v>
      </c>
      <c r="B16" s="60" t="s">
        <v>187</v>
      </c>
      <c r="C16" s="18" t="s">
        <v>103</v>
      </c>
      <c r="D16" s="2" t="s">
        <v>136</v>
      </c>
      <c r="E16" s="20">
        <v>4.0656999999999996</v>
      </c>
      <c r="F16" s="20">
        <v>100.2598</v>
      </c>
      <c r="G16" s="20">
        <v>2332.8532999999998</v>
      </c>
      <c r="H16" s="20" t="s">
        <v>171</v>
      </c>
      <c r="I16" s="20">
        <v>4.0145</v>
      </c>
      <c r="J16" s="20">
        <v>1.2766</v>
      </c>
      <c r="K16" s="20">
        <v>112.71589</v>
      </c>
      <c r="L16" s="20">
        <v>9.5710750000000004</v>
      </c>
      <c r="M16" s="20">
        <v>10.855799999999999</v>
      </c>
      <c r="N16" s="20">
        <v>7.3068</v>
      </c>
    </row>
    <row r="17" spans="1:14" x14ac:dyDescent="0.25">
      <c r="A17" s="59" t="s">
        <v>172</v>
      </c>
      <c r="B17" s="61" t="s">
        <v>188</v>
      </c>
      <c r="C17" s="18" t="s">
        <v>104</v>
      </c>
      <c r="D17" s="2" t="s">
        <v>137</v>
      </c>
      <c r="E17" s="20">
        <v>2.9335</v>
      </c>
      <c r="F17" s="20">
        <v>55.778199999999998</v>
      </c>
      <c r="G17" s="20">
        <v>1920.2868000000001</v>
      </c>
      <c r="H17" s="20" t="s">
        <v>171</v>
      </c>
      <c r="I17" s="20">
        <v>3.9426000000000001</v>
      </c>
      <c r="J17" s="20">
        <v>0.62709999999999999</v>
      </c>
      <c r="K17" s="20">
        <v>117.564007</v>
      </c>
      <c r="L17" s="20">
        <v>6.411124</v>
      </c>
      <c r="M17" s="20">
        <v>11.4238</v>
      </c>
      <c r="N17" s="20">
        <v>7.5282</v>
      </c>
    </row>
    <row r="18" spans="1:14" x14ac:dyDescent="0.25">
      <c r="A18" s="60" t="s">
        <v>174</v>
      </c>
      <c r="B18" s="60" t="s">
        <v>189</v>
      </c>
      <c r="C18" s="18" t="s">
        <v>105</v>
      </c>
      <c r="D18" s="2" t="s">
        <v>138</v>
      </c>
      <c r="E18" s="20">
        <v>5.2333999999999996</v>
      </c>
      <c r="F18" s="20">
        <v>58.102199999999996</v>
      </c>
      <c r="G18" s="20">
        <v>4290.3739999999998</v>
      </c>
      <c r="H18" s="20" t="s">
        <v>171</v>
      </c>
      <c r="I18" s="20">
        <v>4.8538999999999994</v>
      </c>
      <c r="J18" s="20">
        <v>1.4947999999999999</v>
      </c>
      <c r="K18" s="20">
        <v>140.346656</v>
      </c>
      <c r="L18" s="20">
        <v>6.626614</v>
      </c>
      <c r="M18" s="20">
        <v>9.3746000000000009</v>
      </c>
      <c r="N18" s="20">
        <v>8.4597000000000016</v>
      </c>
    </row>
    <row r="19" spans="1:14" x14ac:dyDescent="0.25">
      <c r="A19" s="59" t="s">
        <v>172</v>
      </c>
      <c r="B19" s="59" t="s">
        <v>190</v>
      </c>
      <c r="C19" s="18" t="s">
        <v>106</v>
      </c>
      <c r="D19" s="2" t="s">
        <v>139</v>
      </c>
      <c r="E19" s="20">
        <v>2.5017</v>
      </c>
      <c r="F19" s="20">
        <v>41.660199999999996</v>
      </c>
      <c r="G19" s="20">
        <v>2433.9662999999996</v>
      </c>
      <c r="H19" s="20" t="s">
        <v>171</v>
      </c>
      <c r="I19" s="20">
        <v>3.6671999999999998</v>
      </c>
      <c r="J19" s="20">
        <v>0.62539999999999996</v>
      </c>
      <c r="K19" s="20">
        <v>96.574001999999993</v>
      </c>
      <c r="L19" s="20">
        <v>3.3165870000000002</v>
      </c>
      <c r="M19" s="20">
        <v>5.5076000000000001</v>
      </c>
      <c r="N19" s="20">
        <v>7.1293999999999995</v>
      </c>
    </row>
    <row r="20" spans="1:14" x14ac:dyDescent="0.25">
      <c r="A20" s="60" t="s">
        <v>174</v>
      </c>
      <c r="B20" s="60" t="s">
        <v>191</v>
      </c>
      <c r="C20" s="18" t="s">
        <v>107</v>
      </c>
      <c r="D20" s="2" t="s">
        <v>140</v>
      </c>
      <c r="E20" s="20">
        <v>2.4766999999999997</v>
      </c>
      <c r="F20" s="20">
        <v>45.539000000000001</v>
      </c>
      <c r="G20" s="20">
        <v>2900.9423999999999</v>
      </c>
      <c r="H20" s="20" t="s">
        <v>171</v>
      </c>
      <c r="I20" s="20">
        <v>3.7445999999999997</v>
      </c>
      <c r="J20" s="20">
        <v>0.83289999999999997</v>
      </c>
      <c r="K20" s="20">
        <v>105.89837300000001</v>
      </c>
      <c r="L20" s="20">
        <v>3.1145999999999998</v>
      </c>
      <c r="M20" s="20">
        <v>6.5327999999999999</v>
      </c>
      <c r="N20" s="20">
        <v>7.3049999999999997</v>
      </c>
    </row>
    <row r="21" spans="1:14" x14ac:dyDescent="0.25">
      <c r="A21" s="59" t="s">
        <v>172</v>
      </c>
      <c r="B21" s="59" t="s">
        <v>192</v>
      </c>
      <c r="C21" s="18" t="s">
        <v>108</v>
      </c>
      <c r="D21" s="2" t="s">
        <v>141</v>
      </c>
      <c r="E21" s="20">
        <v>2.7191999999999998</v>
      </c>
      <c r="F21" s="20">
        <v>92.787499999999994</v>
      </c>
      <c r="G21" s="20">
        <v>1885.5128999999999</v>
      </c>
      <c r="H21" s="20" t="s">
        <v>171</v>
      </c>
      <c r="I21" s="20">
        <v>3.4808000000000003</v>
      </c>
      <c r="J21" s="20">
        <v>0.72160000000000002</v>
      </c>
      <c r="K21" s="20">
        <v>106.19112200000001</v>
      </c>
      <c r="L21" s="20">
        <v>3.4747460000000001</v>
      </c>
      <c r="M21" s="20">
        <v>6.8055000000000003</v>
      </c>
      <c r="N21" s="20">
        <v>4.0291999999999994</v>
      </c>
    </row>
    <row r="22" spans="1:14" x14ac:dyDescent="0.25">
      <c r="A22" s="60" t="s">
        <v>174</v>
      </c>
      <c r="B22" s="60" t="s">
        <v>193</v>
      </c>
      <c r="C22" s="18" t="s">
        <v>109</v>
      </c>
      <c r="D22" s="2" t="s">
        <v>142</v>
      </c>
      <c r="E22" s="20">
        <v>5.9593999999999996</v>
      </c>
      <c r="F22" s="20">
        <v>53.779600000000002</v>
      </c>
      <c r="G22" s="20">
        <v>3275.1342</v>
      </c>
      <c r="H22" s="20" t="s">
        <v>171</v>
      </c>
      <c r="I22" s="20">
        <v>4.7039999999999997</v>
      </c>
      <c r="J22" s="20">
        <v>1.9753000000000001</v>
      </c>
      <c r="K22" s="20">
        <v>143.70038099999999</v>
      </c>
      <c r="L22" s="20">
        <v>8.2723870000000002</v>
      </c>
      <c r="M22" s="20">
        <v>13.5909</v>
      </c>
      <c r="N22" s="20">
        <v>7.4918000000000005</v>
      </c>
    </row>
    <row r="23" spans="1:14" x14ac:dyDescent="0.25">
      <c r="A23" s="59" t="s">
        <v>172</v>
      </c>
      <c r="B23" s="59" t="s">
        <v>194</v>
      </c>
      <c r="C23" s="18" t="s">
        <v>110</v>
      </c>
      <c r="D23" s="2" t="s">
        <v>143</v>
      </c>
      <c r="E23" s="20">
        <v>3.2100999999999997</v>
      </c>
      <c r="F23" s="20">
        <v>38.300599999999996</v>
      </c>
      <c r="G23" s="20">
        <v>2574.7617</v>
      </c>
      <c r="H23" s="20" t="s">
        <v>171</v>
      </c>
      <c r="I23" s="20">
        <v>4.3763999999999994</v>
      </c>
      <c r="J23" s="20">
        <v>0.92010000000000003</v>
      </c>
      <c r="K23" s="20">
        <v>128.62745200000001</v>
      </c>
      <c r="L23" s="20">
        <v>4.4622760000000001</v>
      </c>
      <c r="M23" s="20">
        <v>8.8598999999999997</v>
      </c>
      <c r="N23" s="20">
        <v>6.5636000000000001</v>
      </c>
    </row>
    <row r="24" spans="1:14" x14ac:dyDescent="0.25">
      <c r="A24" s="60" t="s">
        <v>174</v>
      </c>
      <c r="B24" s="60" t="s">
        <v>195</v>
      </c>
      <c r="C24" s="18" t="s">
        <v>111</v>
      </c>
      <c r="D24" s="2" t="s">
        <v>144</v>
      </c>
      <c r="E24" s="20">
        <v>3.2054</v>
      </c>
      <c r="F24" s="20">
        <v>71.979699999999994</v>
      </c>
      <c r="G24" s="20">
        <v>2452.6047000000003</v>
      </c>
      <c r="H24" s="20" t="s">
        <v>171</v>
      </c>
      <c r="I24" s="20">
        <v>5.2886000000000006</v>
      </c>
      <c r="J24" s="20">
        <v>1.1689000000000001</v>
      </c>
      <c r="K24" s="20">
        <v>140.58791200000002</v>
      </c>
      <c r="L24" s="20">
        <v>6.7596670000000003</v>
      </c>
      <c r="M24" s="20">
        <v>10.6934</v>
      </c>
      <c r="N24" s="20">
        <v>5.5221</v>
      </c>
    </row>
    <row r="25" spans="1:14" x14ac:dyDescent="0.25">
      <c r="B25" s="19"/>
      <c r="C25" s="19" t="s">
        <v>112</v>
      </c>
      <c r="D25" s="2" t="s">
        <v>145</v>
      </c>
      <c r="E25" s="20">
        <v>2.7146999999999997</v>
      </c>
      <c r="F25" s="20">
        <v>41.272100000000002</v>
      </c>
      <c r="G25" s="20">
        <v>3127.4180000000001</v>
      </c>
      <c r="H25" s="20" t="s">
        <v>171</v>
      </c>
      <c r="I25" s="20">
        <v>3.2262</v>
      </c>
      <c r="J25" s="20">
        <v>0.93940000000000001</v>
      </c>
      <c r="K25" s="20">
        <v>106.01752400000001</v>
      </c>
      <c r="L25" s="20">
        <v>3.1280399999999999</v>
      </c>
      <c r="M25" s="20">
        <v>9.0117999999999991</v>
      </c>
      <c r="N25" s="20">
        <v>5.8283999999999994</v>
      </c>
    </row>
    <row r="26" spans="1:14" x14ac:dyDescent="0.25">
      <c r="B26" s="23" t="s">
        <v>158</v>
      </c>
      <c r="C26" s="19" t="s">
        <v>113</v>
      </c>
      <c r="D26" s="2" t="s">
        <v>146</v>
      </c>
      <c r="E26" s="20">
        <v>5.1352000000000002</v>
      </c>
      <c r="F26" s="20">
        <v>56.997099999999996</v>
      </c>
      <c r="G26" s="22">
        <v>8012.5144499999997</v>
      </c>
      <c r="H26" s="20" t="s">
        <v>171</v>
      </c>
      <c r="I26" s="20">
        <v>4.6303000000000001</v>
      </c>
      <c r="J26" s="20">
        <v>1.6479000000000001</v>
      </c>
      <c r="K26" s="20">
        <v>121.08009699999999</v>
      </c>
      <c r="L26" s="20">
        <v>7.0501420000000001</v>
      </c>
      <c r="M26" s="20">
        <v>12.2232</v>
      </c>
      <c r="N26" s="20">
        <v>12.954600000000001</v>
      </c>
    </row>
    <row r="27" spans="1:14" x14ac:dyDescent="0.25">
      <c r="B27" s="23" t="s">
        <v>158</v>
      </c>
      <c r="C27" s="19" t="s">
        <v>114</v>
      </c>
      <c r="D27" s="2" t="s">
        <v>147</v>
      </c>
      <c r="E27" s="20">
        <v>3.0966999999999998</v>
      </c>
      <c r="F27" s="20">
        <v>96.656000000000006</v>
      </c>
      <c r="G27" s="22">
        <v>6943.0644499999989</v>
      </c>
      <c r="H27" s="20" t="s">
        <v>171</v>
      </c>
      <c r="I27" s="20">
        <v>4.9278999999999993</v>
      </c>
      <c r="J27" s="20">
        <v>0.83350000000000002</v>
      </c>
      <c r="K27" s="20">
        <v>81.85841099999999</v>
      </c>
      <c r="L27" s="20">
        <v>3.6459070000000002</v>
      </c>
      <c r="M27" s="20">
        <v>6.7575000000000003</v>
      </c>
      <c r="N27" s="20">
        <v>6.79</v>
      </c>
    </row>
    <row r="28" spans="1:14" x14ac:dyDescent="0.25">
      <c r="B28" s="19"/>
      <c r="C28" s="19" t="s">
        <v>115</v>
      </c>
      <c r="D28" s="2" t="s">
        <v>148</v>
      </c>
      <c r="E28" s="20">
        <v>2.8344999999999998</v>
      </c>
      <c r="F28" s="20">
        <v>95.708600000000004</v>
      </c>
      <c r="G28" s="20">
        <v>2504.8122999999996</v>
      </c>
      <c r="H28" s="20" t="s">
        <v>171</v>
      </c>
      <c r="I28" s="20">
        <v>4.5703000000000005</v>
      </c>
      <c r="J28" s="20">
        <v>0.79989999999999994</v>
      </c>
      <c r="K28" s="20">
        <v>107.563507</v>
      </c>
      <c r="L28" s="20">
        <v>4.3193530000000004</v>
      </c>
      <c r="M28" s="20">
        <v>7.0552999999999999</v>
      </c>
      <c r="N28" s="20">
        <v>5.2489999999999997</v>
      </c>
    </row>
    <row r="29" spans="1:14" x14ac:dyDescent="0.25">
      <c r="B29" s="23" t="s">
        <v>158</v>
      </c>
      <c r="C29" s="19" t="s">
        <v>116</v>
      </c>
      <c r="D29" s="2" t="s">
        <v>149</v>
      </c>
      <c r="E29" s="20">
        <v>5.0643000000000002</v>
      </c>
      <c r="F29" s="20">
        <v>69.336699999999993</v>
      </c>
      <c r="G29" s="22">
        <v>10868.302320000001</v>
      </c>
      <c r="H29" s="20" t="s">
        <v>171</v>
      </c>
      <c r="I29" s="20">
        <v>5.8188999999999993</v>
      </c>
      <c r="J29" s="20">
        <v>1.2138</v>
      </c>
      <c r="K29" s="20">
        <v>96.529567999999998</v>
      </c>
      <c r="L29" s="20">
        <v>4.450469</v>
      </c>
      <c r="M29" s="20">
        <v>9.0214999999999996</v>
      </c>
      <c r="N29" s="20">
        <v>9.5297000000000001</v>
      </c>
    </row>
    <row r="30" spans="1:14" x14ac:dyDescent="0.25">
      <c r="B30" s="19"/>
      <c r="C30" s="19" t="s">
        <v>117</v>
      </c>
      <c r="D30" s="2" t="s">
        <v>150</v>
      </c>
      <c r="E30" s="20">
        <v>3.7885999999999997</v>
      </c>
      <c r="F30" s="20">
        <v>119.9576</v>
      </c>
      <c r="G30" s="20">
        <v>4097.1927000000005</v>
      </c>
      <c r="H30" s="20" t="s">
        <v>171</v>
      </c>
      <c r="I30" s="20">
        <v>4.7898000000000005</v>
      </c>
      <c r="J30" s="20">
        <v>1.2757000000000001</v>
      </c>
      <c r="K30" s="20">
        <v>116.629666</v>
      </c>
      <c r="L30" s="20">
        <v>3.1359669999999999</v>
      </c>
      <c r="M30" s="20">
        <v>6.2511999999999999</v>
      </c>
      <c r="N30" s="20">
        <v>5.9243999999999994</v>
      </c>
    </row>
    <row r="31" spans="1:14" x14ac:dyDescent="0.25">
      <c r="B31" s="19"/>
      <c r="C31" s="19" t="s">
        <v>118</v>
      </c>
      <c r="D31" s="2" t="s">
        <v>151</v>
      </c>
      <c r="E31" s="20">
        <v>3.5754000000000001</v>
      </c>
      <c r="F31" s="20">
        <v>170.25810000000001</v>
      </c>
      <c r="G31" s="20">
        <v>3435.8097000000002</v>
      </c>
      <c r="H31" s="20" t="s">
        <v>171</v>
      </c>
      <c r="I31" s="20">
        <v>5.6393000000000004</v>
      </c>
      <c r="J31" s="20">
        <v>0.79989999999999994</v>
      </c>
      <c r="K31" s="20">
        <v>113.788341</v>
      </c>
      <c r="L31" s="20">
        <v>7.4652529999999997</v>
      </c>
      <c r="M31" s="20">
        <v>9.7126000000000001</v>
      </c>
      <c r="N31" s="20">
        <v>7.9539</v>
      </c>
    </row>
    <row r="32" spans="1:14" x14ac:dyDescent="0.25">
      <c r="B32" s="19"/>
      <c r="C32" s="19" t="s">
        <v>119</v>
      </c>
      <c r="D32" s="2" t="s">
        <v>152</v>
      </c>
      <c r="E32" s="20">
        <v>3.5413000000000001</v>
      </c>
      <c r="F32" s="20">
        <v>86.323899999999995</v>
      </c>
      <c r="G32" s="20">
        <v>2070.8018000000002</v>
      </c>
      <c r="H32" s="20" t="s">
        <v>171</v>
      </c>
      <c r="I32" s="20">
        <v>6.5788000000000002</v>
      </c>
      <c r="J32" s="20">
        <v>0.7863</v>
      </c>
      <c r="K32" s="20">
        <v>134.01216699999998</v>
      </c>
      <c r="L32" s="20">
        <v>7.1481009999999996</v>
      </c>
      <c r="M32" s="20">
        <v>9.7408000000000001</v>
      </c>
      <c r="N32" s="20">
        <v>4.8923999999999994</v>
      </c>
    </row>
    <row r="33" spans="2:14" x14ac:dyDescent="0.25">
      <c r="B33" s="19"/>
      <c r="C33" s="19" t="s">
        <v>120</v>
      </c>
      <c r="D33" s="2" t="s">
        <v>153</v>
      </c>
      <c r="E33" s="20">
        <v>1.6705000000000001</v>
      </c>
      <c r="F33" s="20">
        <v>210.60210000000001</v>
      </c>
      <c r="G33" s="20">
        <v>2088.0207</v>
      </c>
      <c r="H33" s="20" t="s">
        <v>171</v>
      </c>
      <c r="I33" s="20">
        <v>2.9546000000000001</v>
      </c>
      <c r="J33" s="20">
        <v>0.64879999999999993</v>
      </c>
      <c r="K33" s="20">
        <v>128.535357</v>
      </c>
      <c r="L33" s="20">
        <v>3.3679939999999999</v>
      </c>
      <c r="M33" s="20">
        <v>6.5728</v>
      </c>
      <c r="N33" s="20">
        <v>4.4989999999999997</v>
      </c>
    </row>
    <row r="34" spans="2:14" x14ac:dyDescent="0.25">
      <c r="B34" s="19"/>
      <c r="C34" s="19" t="s">
        <v>121</v>
      </c>
      <c r="D34" s="2" t="s">
        <v>154</v>
      </c>
      <c r="E34" s="20">
        <v>4.7061000000000002</v>
      </c>
      <c r="F34" s="20">
        <v>120.875</v>
      </c>
      <c r="G34" s="20">
        <v>4624.8464999999997</v>
      </c>
      <c r="H34" s="20" t="s">
        <v>171</v>
      </c>
      <c r="I34" s="20">
        <v>3.9249999999999998</v>
      </c>
      <c r="J34" s="20">
        <v>1.0654999999999999</v>
      </c>
      <c r="K34" s="20">
        <v>148.78873000000002</v>
      </c>
      <c r="L34" s="20">
        <v>5.8229700000000006</v>
      </c>
      <c r="M34" s="20">
        <v>11.004</v>
      </c>
      <c r="N34" s="20">
        <v>10.270799999999999</v>
      </c>
    </row>
    <row r="35" spans="2:14" x14ac:dyDescent="0.25">
      <c r="B35" s="19"/>
      <c r="C35" s="19" t="s">
        <v>122</v>
      </c>
      <c r="D35" s="2" t="s">
        <v>155</v>
      </c>
      <c r="E35" s="20">
        <v>3.5266999999999999</v>
      </c>
      <c r="F35" s="20">
        <v>157.70520000000002</v>
      </c>
      <c r="G35" s="20">
        <v>2040.2041999999999</v>
      </c>
      <c r="H35" s="20" t="s">
        <v>171</v>
      </c>
      <c r="I35" s="20">
        <v>6.5546000000000006</v>
      </c>
      <c r="J35" s="20">
        <v>0.84770000000000001</v>
      </c>
      <c r="K35" s="20">
        <v>120.72096999999999</v>
      </c>
      <c r="L35" s="20">
        <v>7.4775679999999998</v>
      </c>
      <c r="M35" s="20">
        <v>10.612399999999999</v>
      </c>
      <c r="N35" s="20">
        <v>4.5926</v>
      </c>
    </row>
    <row r="37" spans="2:14" ht="15.75" thickBot="1" x14ac:dyDescent="0.3"/>
    <row r="38" spans="2:14" ht="15.75" thickBot="1" x14ac:dyDescent="0.3">
      <c r="C38" s="8"/>
      <c r="E38" s="9" t="s">
        <v>0</v>
      </c>
      <c r="F38" s="10" t="s">
        <v>9</v>
      </c>
      <c r="G38" s="10" t="s">
        <v>16</v>
      </c>
      <c r="H38" s="27" t="s">
        <v>23</v>
      </c>
      <c r="I38" s="10" t="s">
        <v>29</v>
      </c>
      <c r="J38" s="10" t="s">
        <v>37</v>
      </c>
      <c r="K38" s="10" t="s">
        <v>44</v>
      </c>
      <c r="L38" s="10" t="s">
        <v>50</v>
      </c>
      <c r="M38" s="10" t="s">
        <v>55</v>
      </c>
      <c r="N38" s="11" t="s">
        <v>59</v>
      </c>
    </row>
    <row r="39" spans="2:14" ht="15.75" thickBot="1" x14ac:dyDescent="0.3">
      <c r="C39" s="45" t="s">
        <v>87</v>
      </c>
      <c r="D39" s="16" t="s">
        <v>169</v>
      </c>
      <c r="E39" s="12">
        <v>75</v>
      </c>
      <c r="F39" s="3">
        <v>0.75</v>
      </c>
      <c r="G39" s="3">
        <v>7.5</v>
      </c>
      <c r="H39" s="25">
        <v>7.4999999999999997E-3</v>
      </c>
      <c r="I39" s="24">
        <v>7.4999999999999997E-2</v>
      </c>
      <c r="J39" s="24">
        <v>7.4999999999999997E-3</v>
      </c>
      <c r="K39" s="24">
        <v>0.22500000000000001</v>
      </c>
      <c r="L39" s="24">
        <v>0.22500000000000001</v>
      </c>
      <c r="M39" s="24">
        <v>7.4999999999999997E-2</v>
      </c>
      <c r="N39" s="26">
        <v>7.4999999999999997E-2</v>
      </c>
    </row>
    <row r="40" spans="2:14" ht="15.75" thickBot="1" x14ac:dyDescent="0.3">
      <c r="C40" s="46"/>
      <c r="D40" s="17" t="s">
        <v>170</v>
      </c>
      <c r="E40" s="13">
        <v>50000</v>
      </c>
      <c r="F40" s="14">
        <v>500</v>
      </c>
      <c r="G40" s="14">
        <v>5000</v>
      </c>
      <c r="H40" s="14">
        <v>5</v>
      </c>
      <c r="I40" s="14">
        <v>50</v>
      </c>
      <c r="J40" s="14">
        <v>5</v>
      </c>
      <c r="K40" s="14">
        <v>150</v>
      </c>
      <c r="L40" s="14">
        <v>150</v>
      </c>
      <c r="M40" s="14">
        <v>50</v>
      </c>
      <c r="N40" s="15">
        <v>50</v>
      </c>
    </row>
  </sheetData>
  <mergeCells count="2">
    <mergeCell ref="E1:N1"/>
    <mergeCell ref="C39:C40"/>
  </mergeCells>
  <conditionalFormatting sqref="E3:N35">
    <cfRule type="containsText" dxfId="0" priority="1" operator="containsText" text="&lt;">
      <formula>NOT(ISERROR(SEARCH("&lt;",E3)))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54D4-9D90-4820-8C39-A6DC77F7B260}">
  <sheetPr codeName="Feuil4"/>
  <dimension ref="A1:Q21"/>
  <sheetViews>
    <sheetView topLeftCell="A13" workbookViewId="0">
      <selection activeCell="H32" sqref="H32"/>
    </sheetView>
  </sheetViews>
  <sheetFormatPr defaultColWidth="11.42578125" defaultRowHeight="15" x14ac:dyDescent="0.25"/>
  <cols>
    <col min="1" max="1" width="14" style="28" bestFit="1" customWidth="1"/>
    <col min="2" max="2" width="20" style="28" customWidth="1"/>
    <col min="3" max="4" width="16" style="28" customWidth="1"/>
    <col min="5" max="5" width="8.28515625" style="28" customWidth="1"/>
    <col min="6" max="6" width="16" style="28" customWidth="1"/>
    <col min="7" max="7" width="8.28515625" style="28" customWidth="1"/>
    <col min="8" max="9" width="16" style="28" customWidth="1"/>
    <col min="10" max="10" width="8.28515625" style="28" customWidth="1"/>
    <col min="11" max="11" width="16" style="28" customWidth="1"/>
    <col min="12" max="12" width="8.28515625" style="28" customWidth="1"/>
    <col min="13" max="14" width="16" style="28" customWidth="1"/>
    <col min="15" max="15" width="8.28515625" style="28" customWidth="1"/>
    <col min="16" max="16" width="16" style="28" customWidth="1"/>
    <col min="17" max="17" width="8.28515625" style="28" customWidth="1"/>
    <col min="18" max="16384" width="11.42578125" style="28"/>
  </cols>
  <sheetData>
    <row r="1" spans="1:17" ht="15.75" thickBot="1" x14ac:dyDescent="0.3"/>
    <row r="2" spans="1:17" ht="15.75" thickTop="1" x14ac:dyDescent="0.25">
      <c r="C2" s="47" t="s">
        <v>63</v>
      </c>
      <c r="D2" s="48"/>
      <c r="E2" s="48"/>
      <c r="F2" s="48"/>
      <c r="G2" s="49"/>
      <c r="H2" s="50" t="s">
        <v>64</v>
      </c>
      <c r="I2" s="48"/>
      <c r="J2" s="48"/>
      <c r="K2" s="48"/>
      <c r="L2" s="51"/>
      <c r="M2" s="47" t="s">
        <v>65</v>
      </c>
      <c r="N2" s="48"/>
      <c r="O2" s="48"/>
      <c r="P2" s="48"/>
      <c r="Q2" s="49"/>
    </row>
    <row r="3" spans="1:17" x14ac:dyDescent="0.25">
      <c r="C3" s="52" t="s">
        <v>159</v>
      </c>
      <c r="D3" s="53" t="s">
        <v>66</v>
      </c>
      <c r="E3" s="53"/>
      <c r="F3" s="53" t="s">
        <v>67</v>
      </c>
      <c r="G3" s="54"/>
      <c r="H3" s="55" t="s">
        <v>159</v>
      </c>
      <c r="I3" s="53" t="s">
        <v>66</v>
      </c>
      <c r="J3" s="53"/>
      <c r="K3" s="53" t="s">
        <v>67</v>
      </c>
      <c r="L3" s="56"/>
      <c r="M3" s="52" t="s">
        <v>159</v>
      </c>
      <c r="N3" s="53" t="s">
        <v>66</v>
      </c>
      <c r="O3" s="53"/>
      <c r="P3" s="53" t="s">
        <v>67</v>
      </c>
      <c r="Q3" s="54"/>
    </row>
    <row r="4" spans="1:17" ht="45" x14ac:dyDescent="0.25">
      <c r="C4" s="52"/>
      <c r="D4" s="32" t="s">
        <v>160</v>
      </c>
      <c r="E4" s="29" t="s">
        <v>68</v>
      </c>
      <c r="F4" s="32" t="s">
        <v>160</v>
      </c>
      <c r="G4" s="30" t="s">
        <v>68</v>
      </c>
      <c r="H4" s="55"/>
      <c r="I4" s="32" t="s">
        <v>160</v>
      </c>
      <c r="J4" s="29" t="s">
        <v>68</v>
      </c>
      <c r="K4" s="32" t="s">
        <v>160</v>
      </c>
      <c r="L4" s="31" t="s">
        <v>68</v>
      </c>
      <c r="M4" s="52"/>
      <c r="N4" s="32" t="s">
        <v>160</v>
      </c>
      <c r="O4" s="29" t="s">
        <v>68</v>
      </c>
      <c r="P4" s="32" t="s">
        <v>160</v>
      </c>
      <c r="Q4" s="30" t="s">
        <v>68</v>
      </c>
    </row>
    <row r="5" spans="1:17" x14ac:dyDescent="0.25">
      <c r="A5" s="57" t="s">
        <v>161</v>
      </c>
      <c r="B5" s="34" t="s">
        <v>0</v>
      </c>
      <c r="C5" s="35">
        <v>2</v>
      </c>
      <c r="D5" s="36">
        <v>2.1366999999999998</v>
      </c>
      <c r="E5" s="36" t="s">
        <v>3</v>
      </c>
      <c r="F5" s="36">
        <v>1.9060999999999999</v>
      </c>
      <c r="G5" s="37" t="s">
        <v>6</v>
      </c>
      <c r="H5" s="35">
        <v>20</v>
      </c>
      <c r="I5" s="36">
        <v>20.959199999999999</v>
      </c>
      <c r="J5" s="36" t="s">
        <v>4</v>
      </c>
      <c r="K5" s="36">
        <v>21.021799999999999</v>
      </c>
      <c r="L5" s="38" t="s">
        <v>7</v>
      </c>
      <c r="M5" s="35">
        <v>40</v>
      </c>
      <c r="N5" s="36">
        <v>37.356199999999994</v>
      </c>
      <c r="O5" s="36" t="s">
        <v>5</v>
      </c>
      <c r="P5" s="36">
        <v>35.999600000000001</v>
      </c>
      <c r="Q5" s="37" t="s">
        <v>8</v>
      </c>
    </row>
    <row r="6" spans="1:17" x14ac:dyDescent="0.25">
      <c r="A6" s="57"/>
      <c r="B6" s="34" t="s">
        <v>9</v>
      </c>
      <c r="C6" s="35">
        <v>20</v>
      </c>
      <c r="D6" s="36">
        <v>20.3612</v>
      </c>
      <c r="E6" s="36" t="s">
        <v>11</v>
      </c>
      <c r="F6" s="36">
        <v>18.854900000000001</v>
      </c>
      <c r="G6" s="37" t="s">
        <v>2</v>
      </c>
      <c r="H6" s="35">
        <v>200</v>
      </c>
      <c r="I6" s="36">
        <v>220.76839999999999</v>
      </c>
      <c r="J6" s="36" t="s">
        <v>12</v>
      </c>
      <c r="K6" s="36">
        <v>175.87090000000001</v>
      </c>
      <c r="L6" s="38" t="s">
        <v>14</v>
      </c>
      <c r="M6" s="35">
        <v>400</v>
      </c>
      <c r="N6" s="36">
        <v>382.24149999999997</v>
      </c>
      <c r="O6" s="36" t="s">
        <v>13</v>
      </c>
      <c r="P6" s="36">
        <v>386.54520000000002</v>
      </c>
      <c r="Q6" s="37" t="s">
        <v>15</v>
      </c>
    </row>
    <row r="7" spans="1:17" x14ac:dyDescent="0.25">
      <c r="A7" s="57"/>
      <c r="B7" s="34" t="s">
        <v>16</v>
      </c>
      <c r="C7" s="35">
        <v>200</v>
      </c>
      <c r="D7" s="36">
        <v>215.98620000000003</v>
      </c>
      <c r="E7" s="36" t="s">
        <v>18</v>
      </c>
      <c r="F7" s="36">
        <v>187.39870000000002</v>
      </c>
      <c r="G7" s="37" t="s">
        <v>21</v>
      </c>
      <c r="H7" s="35">
        <v>2000</v>
      </c>
      <c r="I7" s="36">
        <v>1948.7202</v>
      </c>
      <c r="J7" s="36" t="s">
        <v>19</v>
      </c>
      <c r="K7" s="36">
        <v>1879.7670000000001</v>
      </c>
      <c r="L7" s="38" t="s">
        <v>22</v>
      </c>
      <c r="M7" s="35">
        <v>4000</v>
      </c>
      <c r="N7" s="36">
        <v>3740.6942000000004</v>
      </c>
      <c r="O7" s="36" t="s">
        <v>20</v>
      </c>
      <c r="P7" s="36">
        <v>3643.3534</v>
      </c>
      <c r="Q7" s="37" t="s">
        <v>10</v>
      </c>
    </row>
    <row r="8" spans="1:17" x14ac:dyDescent="0.25">
      <c r="A8" s="57"/>
      <c r="B8" s="34" t="s">
        <v>23</v>
      </c>
      <c r="C8" s="35">
        <v>0.2</v>
      </c>
      <c r="D8" s="36">
        <v>0.19850000000000001</v>
      </c>
      <c r="E8" s="36" t="s">
        <v>24</v>
      </c>
      <c r="F8" s="36">
        <v>0.19700000000000001</v>
      </c>
      <c r="G8" s="37" t="s">
        <v>27</v>
      </c>
      <c r="H8" s="35">
        <v>2</v>
      </c>
      <c r="I8" s="36">
        <v>1.9541999999999999</v>
      </c>
      <c r="J8" s="36" t="s">
        <v>25</v>
      </c>
      <c r="K8" s="36">
        <v>2.0385</v>
      </c>
      <c r="L8" s="38" t="s">
        <v>28</v>
      </c>
      <c r="M8" s="35">
        <v>4</v>
      </c>
      <c r="N8" s="36">
        <v>3.8479000000000001</v>
      </c>
      <c r="O8" s="36" t="s">
        <v>26</v>
      </c>
      <c r="P8" s="36">
        <v>3.9711999999999996</v>
      </c>
      <c r="Q8" s="37" t="s">
        <v>24</v>
      </c>
    </row>
    <row r="9" spans="1:17" x14ac:dyDescent="0.25">
      <c r="A9" s="57"/>
      <c r="B9" s="34" t="s">
        <v>29</v>
      </c>
      <c r="C9" s="35">
        <v>2</v>
      </c>
      <c r="D9" s="36">
        <v>1.9435</v>
      </c>
      <c r="E9" s="36" t="s">
        <v>32</v>
      </c>
      <c r="F9" s="36">
        <v>1.9784999999999999</v>
      </c>
      <c r="G9" s="37" t="s">
        <v>35</v>
      </c>
      <c r="H9" s="35">
        <v>20</v>
      </c>
      <c r="I9" s="36">
        <v>19.592700000000001</v>
      </c>
      <c r="J9" s="36" t="s">
        <v>33</v>
      </c>
      <c r="K9" s="36">
        <v>20.5289</v>
      </c>
      <c r="L9" s="38" t="s">
        <v>36</v>
      </c>
      <c r="M9" s="35">
        <v>40</v>
      </c>
      <c r="N9" s="36">
        <v>37.996900000000004</v>
      </c>
      <c r="O9" s="36" t="s">
        <v>34</v>
      </c>
      <c r="P9" s="36">
        <v>38.890500000000003</v>
      </c>
      <c r="Q9" s="37" t="s">
        <v>32</v>
      </c>
    </row>
    <row r="10" spans="1:17" x14ac:dyDescent="0.25">
      <c r="A10" s="57"/>
      <c r="B10" s="34" t="s">
        <v>37</v>
      </c>
      <c r="C10" s="35">
        <v>0.2</v>
      </c>
      <c r="D10" s="36">
        <v>0.2205</v>
      </c>
      <c r="E10" s="36" t="s">
        <v>38</v>
      </c>
      <c r="F10" s="36">
        <v>0.20710000000000001</v>
      </c>
      <c r="G10" s="37" t="s">
        <v>41</v>
      </c>
      <c r="H10" s="35">
        <v>2</v>
      </c>
      <c r="I10" s="36">
        <v>1.94</v>
      </c>
      <c r="J10" s="36" t="s">
        <v>39</v>
      </c>
      <c r="K10" s="36">
        <v>2.1179999999999999</v>
      </c>
      <c r="L10" s="38" t="s">
        <v>42</v>
      </c>
      <c r="M10" s="35">
        <v>4</v>
      </c>
      <c r="N10" s="36">
        <v>3.7214</v>
      </c>
      <c r="O10" s="36" t="s">
        <v>40</v>
      </c>
      <c r="P10" s="36">
        <v>3.8093000000000004</v>
      </c>
      <c r="Q10" s="37" t="s">
        <v>43</v>
      </c>
    </row>
    <row r="11" spans="1:17" x14ac:dyDescent="0.25">
      <c r="A11" s="57"/>
      <c r="B11" s="34" t="s">
        <v>44</v>
      </c>
      <c r="C11" s="35">
        <v>6</v>
      </c>
      <c r="D11" s="36">
        <v>6.2011000000000003</v>
      </c>
      <c r="E11" s="36" t="s">
        <v>45</v>
      </c>
      <c r="F11" s="36">
        <v>6.5556000000000001</v>
      </c>
      <c r="G11" s="37" t="s">
        <v>47</v>
      </c>
      <c r="H11" s="35">
        <v>60</v>
      </c>
      <c r="I11" s="36">
        <v>60.732199999999999</v>
      </c>
      <c r="J11" s="36" t="s">
        <v>31</v>
      </c>
      <c r="K11" s="36">
        <v>60.896999999999998</v>
      </c>
      <c r="L11" s="38" t="s">
        <v>48</v>
      </c>
      <c r="M11" s="35">
        <v>120</v>
      </c>
      <c r="N11" s="36">
        <v>111.9455</v>
      </c>
      <c r="O11" s="36" t="s">
        <v>46</v>
      </c>
      <c r="P11" s="36">
        <v>111.5068</v>
      </c>
      <c r="Q11" s="37" t="s">
        <v>49</v>
      </c>
    </row>
    <row r="12" spans="1:17" x14ac:dyDescent="0.25">
      <c r="A12" s="57"/>
      <c r="B12" s="34" t="s">
        <v>50</v>
      </c>
      <c r="C12" s="35">
        <v>6</v>
      </c>
      <c r="D12" s="36">
        <v>5.9806000000000008</v>
      </c>
      <c r="E12" s="36" t="s">
        <v>52</v>
      </c>
      <c r="F12" s="36">
        <v>6.7531999999999996</v>
      </c>
      <c r="G12" s="37" t="s">
        <v>1</v>
      </c>
      <c r="H12" s="35">
        <v>60</v>
      </c>
      <c r="I12" s="36">
        <v>55.368300000000005</v>
      </c>
      <c r="J12" s="36" t="s">
        <v>53</v>
      </c>
      <c r="K12" s="36">
        <v>60.005800000000001</v>
      </c>
      <c r="L12" s="38" t="s">
        <v>54</v>
      </c>
      <c r="M12" s="35">
        <v>120</v>
      </c>
      <c r="N12" s="36">
        <v>114.2706</v>
      </c>
      <c r="O12" s="36" t="s">
        <v>43</v>
      </c>
      <c r="P12" s="36">
        <v>108.32860000000001</v>
      </c>
      <c r="Q12" s="37" t="s">
        <v>51</v>
      </c>
    </row>
    <row r="13" spans="1:17" x14ac:dyDescent="0.25">
      <c r="A13" s="57"/>
      <c r="B13" s="34" t="s">
        <v>55</v>
      </c>
      <c r="C13" s="35">
        <v>2</v>
      </c>
      <c r="D13" s="36">
        <v>1.9109</v>
      </c>
      <c r="E13" s="36" t="s">
        <v>56</v>
      </c>
      <c r="F13" s="36">
        <v>1.9687999999999999</v>
      </c>
      <c r="G13" s="37" t="s">
        <v>17</v>
      </c>
      <c r="H13" s="35">
        <v>20</v>
      </c>
      <c r="I13" s="36">
        <v>20.884799999999998</v>
      </c>
      <c r="J13" s="36" t="s">
        <v>30</v>
      </c>
      <c r="K13" s="36">
        <v>22.3581</v>
      </c>
      <c r="L13" s="38" t="s">
        <v>58</v>
      </c>
      <c r="M13" s="35">
        <v>40</v>
      </c>
      <c r="N13" s="36">
        <v>38.3645</v>
      </c>
      <c r="O13" s="36" t="s">
        <v>57</v>
      </c>
      <c r="P13" s="36">
        <v>41.359300000000005</v>
      </c>
      <c r="Q13" s="37" t="s">
        <v>45</v>
      </c>
    </row>
    <row r="14" spans="1:17" ht="15.75" thickBot="1" x14ac:dyDescent="0.3">
      <c r="A14" s="57"/>
      <c r="B14" s="34" t="s">
        <v>59</v>
      </c>
      <c r="C14" s="39">
        <v>2</v>
      </c>
      <c r="D14" s="40">
        <v>2.0301</v>
      </c>
      <c r="E14" s="40" t="s">
        <v>48</v>
      </c>
      <c r="F14" s="40">
        <v>2.1418000000000004</v>
      </c>
      <c r="G14" s="41" t="s">
        <v>61</v>
      </c>
      <c r="H14" s="39">
        <v>20</v>
      </c>
      <c r="I14" s="40">
        <v>20.756499999999999</v>
      </c>
      <c r="J14" s="40" t="s">
        <v>60</v>
      </c>
      <c r="K14" s="40">
        <v>21.319099999999999</v>
      </c>
      <c r="L14" s="42" t="s">
        <v>62</v>
      </c>
      <c r="M14" s="39">
        <v>40</v>
      </c>
      <c r="N14" s="40">
        <v>35.980199999999996</v>
      </c>
      <c r="O14" s="40" t="s">
        <v>8</v>
      </c>
      <c r="P14" s="40">
        <v>39.7057</v>
      </c>
      <c r="Q14" s="41" t="s">
        <v>24</v>
      </c>
    </row>
    <row r="15" spans="1:17" ht="15.75" thickTop="1" x14ac:dyDescent="0.25"/>
    <row r="16" spans="1:17" ht="15.75" thickBot="1" x14ac:dyDescent="0.3"/>
    <row r="17" spans="1:17" ht="15.75" thickTop="1" x14ac:dyDescent="0.25">
      <c r="C17" s="47" t="s">
        <v>63</v>
      </c>
      <c r="D17" s="48"/>
      <c r="E17" s="48"/>
      <c r="F17" s="48"/>
      <c r="G17" s="49"/>
      <c r="H17" s="50" t="s">
        <v>64</v>
      </c>
      <c r="I17" s="48"/>
      <c r="J17" s="48"/>
      <c r="K17" s="48"/>
      <c r="L17" s="51"/>
      <c r="M17" s="47" t="s">
        <v>65</v>
      </c>
      <c r="N17" s="48"/>
      <c r="O17" s="48"/>
      <c r="P17" s="48"/>
      <c r="Q17" s="49"/>
    </row>
    <row r="18" spans="1:17" x14ac:dyDescent="0.25">
      <c r="C18" s="52" t="s">
        <v>159</v>
      </c>
      <c r="D18" s="53" t="s">
        <v>66</v>
      </c>
      <c r="E18" s="53"/>
      <c r="F18" s="53" t="s">
        <v>67</v>
      </c>
      <c r="G18" s="54"/>
      <c r="H18" s="55" t="s">
        <v>159</v>
      </c>
      <c r="I18" s="53" t="s">
        <v>66</v>
      </c>
      <c r="J18" s="53"/>
      <c r="K18" s="53" t="s">
        <v>67</v>
      </c>
      <c r="L18" s="56"/>
      <c r="M18" s="52" t="s">
        <v>159</v>
      </c>
      <c r="N18" s="53" t="s">
        <v>66</v>
      </c>
      <c r="O18" s="53"/>
      <c r="P18" s="53" t="s">
        <v>67</v>
      </c>
      <c r="Q18" s="54"/>
    </row>
    <row r="19" spans="1:17" ht="45" x14ac:dyDescent="0.25">
      <c r="C19" s="52"/>
      <c r="D19" s="32" t="s">
        <v>160</v>
      </c>
      <c r="E19" s="29" t="s">
        <v>68</v>
      </c>
      <c r="F19" s="32" t="s">
        <v>160</v>
      </c>
      <c r="G19" s="30" t="s">
        <v>68</v>
      </c>
      <c r="H19" s="55"/>
      <c r="I19" s="32" t="s">
        <v>160</v>
      </c>
      <c r="J19" s="29" t="s">
        <v>68</v>
      </c>
      <c r="K19" s="32" t="s">
        <v>160</v>
      </c>
      <c r="L19" s="31" t="s">
        <v>68</v>
      </c>
      <c r="M19" s="52"/>
      <c r="N19" s="32" t="s">
        <v>160</v>
      </c>
      <c r="O19" s="29" t="s">
        <v>68</v>
      </c>
      <c r="P19" s="32" t="s">
        <v>160</v>
      </c>
      <c r="Q19" s="30" t="s">
        <v>68</v>
      </c>
    </row>
    <row r="20" spans="1:17" ht="31.5" customHeight="1" thickBot="1" x14ac:dyDescent="0.3">
      <c r="A20" s="33" t="s">
        <v>162</v>
      </c>
      <c r="B20" s="43" t="s">
        <v>16</v>
      </c>
      <c r="C20" s="39">
        <v>200</v>
      </c>
      <c r="D20" s="40">
        <v>215.98620000000003</v>
      </c>
      <c r="E20" s="40" t="s">
        <v>18</v>
      </c>
      <c r="F20" s="40">
        <v>187.39870000000002</v>
      </c>
      <c r="G20" s="41" t="s">
        <v>21</v>
      </c>
      <c r="H20" s="39">
        <v>2000</v>
      </c>
      <c r="I20" s="40">
        <v>1948.7202</v>
      </c>
      <c r="J20" s="40" t="s">
        <v>19</v>
      </c>
      <c r="K20" s="40">
        <v>1879.7670000000001</v>
      </c>
      <c r="L20" s="42" t="s">
        <v>22</v>
      </c>
      <c r="M20" s="39">
        <v>4000</v>
      </c>
      <c r="N20" s="40">
        <v>3740.6942000000004</v>
      </c>
      <c r="O20" s="40" t="s">
        <v>20</v>
      </c>
      <c r="P20" s="40">
        <v>3643.3534</v>
      </c>
      <c r="Q20" s="41" t="s">
        <v>10</v>
      </c>
    </row>
    <row r="21" spans="1:17" ht="15.75" thickTop="1" x14ac:dyDescent="0.25"/>
  </sheetData>
  <mergeCells count="25">
    <mergeCell ref="A5:A14"/>
    <mergeCell ref="C17:G17"/>
    <mergeCell ref="H17:L17"/>
    <mergeCell ref="M17:Q17"/>
    <mergeCell ref="C18:C19"/>
    <mergeCell ref="D18:E18"/>
    <mergeCell ref="F18:G18"/>
    <mergeCell ref="H18:H19"/>
    <mergeCell ref="I18:J18"/>
    <mergeCell ref="K18:L18"/>
    <mergeCell ref="M18:M19"/>
    <mergeCell ref="N18:O18"/>
    <mergeCell ref="P18:Q18"/>
    <mergeCell ref="C2:G2"/>
    <mergeCell ref="H2:L2"/>
    <mergeCell ref="M2:Q2"/>
    <mergeCell ref="C3:C4"/>
    <mergeCell ref="D3:E3"/>
    <mergeCell ref="F3:G3"/>
    <mergeCell ref="H3:H4"/>
    <mergeCell ref="I3:J3"/>
    <mergeCell ref="K3:L3"/>
    <mergeCell ref="M3:M4"/>
    <mergeCell ref="N3:O3"/>
    <mergeCell ref="P3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FD21-8AC3-4886-A66A-EB36B1288114}">
  <sheetPr codeName="Feuil5"/>
  <dimension ref="A2:N21"/>
  <sheetViews>
    <sheetView topLeftCell="A10" workbookViewId="0">
      <selection activeCell="K17" sqref="K17"/>
    </sheetView>
  </sheetViews>
  <sheetFormatPr defaultColWidth="11.42578125" defaultRowHeight="15" x14ac:dyDescent="0.25"/>
  <cols>
    <col min="1" max="1" width="18.85546875" customWidth="1"/>
    <col min="3" max="14" width="14.28515625" customWidth="1"/>
  </cols>
  <sheetData>
    <row r="2" spans="1:14" ht="29.25" customHeight="1" x14ac:dyDescent="0.25">
      <c r="A2" s="58" t="s">
        <v>161</v>
      </c>
      <c r="B2" s="2"/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</row>
    <row r="3" spans="1:14" ht="29.25" customHeight="1" x14ac:dyDescent="0.25">
      <c r="A3" s="58"/>
      <c r="B3" s="4" t="s">
        <v>69</v>
      </c>
      <c r="C3" s="5" t="s">
        <v>70</v>
      </c>
      <c r="D3" s="5" t="s">
        <v>71</v>
      </c>
      <c r="E3" s="5" t="s">
        <v>72</v>
      </c>
      <c r="F3" s="5" t="s">
        <v>73</v>
      </c>
      <c r="G3" s="5" t="s">
        <v>74</v>
      </c>
      <c r="H3" s="5" t="s">
        <v>75</v>
      </c>
      <c r="I3" s="5" t="s">
        <v>76</v>
      </c>
      <c r="J3" s="6" t="s">
        <v>77</v>
      </c>
      <c r="K3" s="6" t="s">
        <v>78</v>
      </c>
      <c r="L3" s="6" t="s">
        <v>79</v>
      </c>
      <c r="M3" s="2"/>
      <c r="N3" s="2"/>
    </row>
    <row r="4" spans="1:14" ht="29.25" customHeight="1" x14ac:dyDescent="0.25">
      <c r="A4" s="58"/>
      <c r="B4" s="4" t="s">
        <v>80</v>
      </c>
      <c r="C4" s="2" t="s">
        <v>123</v>
      </c>
      <c r="D4" s="2" t="s">
        <v>124</v>
      </c>
      <c r="E4" s="2" t="s">
        <v>125</v>
      </c>
      <c r="F4" s="2" t="s">
        <v>126</v>
      </c>
      <c r="G4" s="2" t="s">
        <v>127</v>
      </c>
      <c r="H4" s="2" t="s">
        <v>128</v>
      </c>
      <c r="I4" s="2" t="s">
        <v>129</v>
      </c>
      <c r="J4" s="2" t="s">
        <v>130</v>
      </c>
      <c r="K4" s="2" t="s">
        <v>131</v>
      </c>
      <c r="L4" s="2" t="s">
        <v>132</v>
      </c>
      <c r="M4" s="2" t="s">
        <v>133</v>
      </c>
      <c r="N4" s="2" t="s">
        <v>134</v>
      </c>
    </row>
    <row r="5" spans="1:14" ht="29.25" customHeight="1" x14ac:dyDescent="0.25">
      <c r="A5" s="58"/>
      <c r="B5" s="4" t="s">
        <v>81</v>
      </c>
      <c r="C5" s="2" t="s">
        <v>135</v>
      </c>
      <c r="D5" s="2" t="s">
        <v>136</v>
      </c>
      <c r="E5" s="2" t="s">
        <v>137</v>
      </c>
      <c r="F5" s="2" t="s">
        <v>138</v>
      </c>
      <c r="G5" s="2" t="s">
        <v>139</v>
      </c>
      <c r="H5" s="2" t="s">
        <v>140</v>
      </c>
      <c r="I5" s="2" t="s">
        <v>141</v>
      </c>
      <c r="J5" s="2" t="s">
        <v>142</v>
      </c>
      <c r="K5" s="2" t="s">
        <v>143</v>
      </c>
      <c r="L5" s="2" t="s">
        <v>144</v>
      </c>
      <c r="M5" s="2" t="s">
        <v>145</v>
      </c>
      <c r="N5" s="2" t="s">
        <v>146</v>
      </c>
    </row>
    <row r="6" spans="1:14" ht="29.25" customHeight="1" x14ac:dyDescent="0.25">
      <c r="A6" s="58"/>
      <c r="B6" s="4" t="s">
        <v>82</v>
      </c>
      <c r="C6" s="2" t="s">
        <v>147</v>
      </c>
      <c r="D6" s="2" t="s">
        <v>148</v>
      </c>
      <c r="E6" s="2" t="s">
        <v>149</v>
      </c>
      <c r="F6" s="2" t="s">
        <v>150</v>
      </c>
      <c r="G6" s="2" t="s">
        <v>151</v>
      </c>
      <c r="H6" s="2" t="s">
        <v>152</v>
      </c>
      <c r="I6" s="2" t="s">
        <v>153</v>
      </c>
      <c r="J6" s="2" t="s">
        <v>154</v>
      </c>
      <c r="K6" s="2" t="s">
        <v>155</v>
      </c>
      <c r="L6" s="6" t="s">
        <v>163</v>
      </c>
      <c r="M6" s="6" t="s">
        <v>164</v>
      </c>
      <c r="N6" s="6" t="s">
        <v>165</v>
      </c>
    </row>
    <row r="7" spans="1:14" ht="29.25" customHeight="1" x14ac:dyDescent="0.25">
      <c r="A7" s="58"/>
      <c r="B7" s="4" t="s">
        <v>83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29.25" customHeight="1" x14ac:dyDescent="0.25">
      <c r="A8" s="58"/>
      <c r="B8" s="4" t="s">
        <v>84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29.25" customHeight="1" x14ac:dyDescent="0.25">
      <c r="A9" s="58"/>
      <c r="B9" s="4" t="s">
        <v>85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29.25" customHeight="1" x14ac:dyDescent="0.25">
      <c r="A10" s="58"/>
      <c r="B10" s="4" t="s">
        <v>86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3" spans="1:14" ht="29.25" customHeight="1" x14ac:dyDescent="0.25">
      <c r="A13" s="58" t="s">
        <v>162</v>
      </c>
      <c r="B13" s="2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</row>
    <row r="14" spans="1:14" ht="29.25" customHeight="1" x14ac:dyDescent="0.25">
      <c r="A14" s="58"/>
      <c r="B14" s="4" t="s">
        <v>69</v>
      </c>
      <c r="C14" s="5" t="s">
        <v>70</v>
      </c>
      <c r="D14" s="5" t="s">
        <v>71</v>
      </c>
      <c r="E14" s="5" t="s">
        <v>72</v>
      </c>
      <c r="F14" s="5" t="s">
        <v>73</v>
      </c>
      <c r="G14" s="5" t="s">
        <v>74</v>
      </c>
      <c r="H14" s="5" t="s">
        <v>75</v>
      </c>
      <c r="I14" s="5" t="s">
        <v>76</v>
      </c>
      <c r="J14" s="6" t="s">
        <v>77</v>
      </c>
      <c r="K14" s="6" t="s">
        <v>78</v>
      </c>
      <c r="L14" s="6" t="s">
        <v>79</v>
      </c>
      <c r="M14" s="2"/>
      <c r="N14" s="2"/>
    </row>
    <row r="15" spans="1:14" ht="29.25" customHeight="1" x14ac:dyDescent="0.25">
      <c r="A15" s="58"/>
      <c r="B15" s="4" t="s">
        <v>80</v>
      </c>
      <c r="C15" s="1" t="s">
        <v>166</v>
      </c>
      <c r="D15" s="1" t="s">
        <v>167</v>
      </c>
      <c r="E15" s="1" t="s">
        <v>168</v>
      </c>
      <c r="F15" s="6" t="s">
        <v>163</v>
      </c>
      <c r="G15" s="6" t="s">
        <v>164</v>
      </c>
      <c r="H15" s="6" t="s">
        <v>165</v>
      </c>
      <c r="I15" s="2"/>
      <c r="J15" s="2"/>
      <c r="K15" s="2"/>
      <c r="L15" s="2"/>
      <c r="M15" s="2"/>
      <c r="N15" s="2"/>
    </row>
    <row r="16" spans="1:14" ht="29.25" customHeight="1" x14ac:dyDescent="0.25">
      <c r="A16" s="58"/>
      <c r="B16" s="4" t="s">
        <v>81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29.25" customHeight="1" x14ac:dyDescent="0.25">
      <c r="A17" s="58"/>
      <c r="B17" s="4" t="s">
        <v>82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29.25" customHeight="1" x14ac:dyDescent="0.25">
      <c r="A18" s="58"/>
      <c r="B18" s="4" t="s">
        <v>83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29.25" customHeight="1" x14ac:dyDescent="0.25">
      <c r="A19" s="58"/>
      <c r="B19" s="4" t="s">
        <v>84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29.25" customHeight="1" x14ac:dyDescent="0.25">
      <c r="A20" s="58"/>
      <c r="B20" s="4" t="s">
        <v>85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29.25" customHeight="1" x14ac:dyDescent="0.25">
      <c r="A21" s="58"/>
      <c r="B21" s="4" t="s">
        <v>86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</sheetData>
  <mergeCells count="2">
    <mergeCell ref="A2:A10"/>
    <mergeCell ref="A13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Normalisation_Data set client</vt:lpstr>
      <vt:lpstr>Quality control</vt:lpstr>
      <vt:lpstr>Plate Map</vt:lpstr>
    </vt:vector>
  </TitlesOfParts>
  <Company>Universite de Tours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Dupuy</dc:creator>
  <cp:lastModifiedBy>Rodrigo Formiga</cp:lastModifiedBy>
  <dcterms:created xsi:type="dcterms:W3CDTF">2024-12-04T07:40:38Z</dcterms:created>
  <dcterms:modified xsi:type="dcterms:W3CDTF">2025-01-21T12:10:57Z</dcterms:modified>
</cp:coreProperties>
</file>