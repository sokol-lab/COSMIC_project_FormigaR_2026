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05E323A9-B33A-42AF-BBD9-05D682A71796}" xr6:coauthVersionLast="47" xr6:coauthVersionMax="47" xr10:uidLastSave="{00000000-0000-0000-0000-000000000000}"/>
  <bookViews>
    <workbookView xWindow="-120" yWindow="-120" windowWidth="29040" windowHeight="15720" xr2:uid="{9330CD6B-9812-44C7-94BB-7B8DD1194B25}"/>
  </bookViews>
  <sheets>
    <sheet name="Data set" sheetId="3" r:id="rId1"/>
    <sheet name="Quality control" sheetId="4" r:id="rId2"/>
    <sheet name="Plate Map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<sst xmlns="http://schemas.openxmlformats.org/spreadsheetml/2006/main" count="286" uniqueCount="112">
  <si>
    <t>Malic Acid</t>
  </si>
  <si>
    <t>Glucose</t>
  </si>
  <si>
    <t>Lactic acid</t>
  </si>
  <si>
    <t>Itaconic Acid</t>
  </si>
  <si>
    <t>Succinic Acid</t>
  </si>
  <si>
    <t>Fumaric Acid</t>
  </si>
  <si>
    <t>Citric Acid</t>
  </si>
  <si>
    <t>Isocitric Acid</t>
  </si>
  <si>
    <t>Aconitic Acid</t>
  </si>
  <si>
    <t>Ketoglutaric Acid</t>
  </si>
  <si>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</si>
  <si>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</si>
  <si>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</si>
  <si>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</si>
  <si>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</si>
  <si>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</si>
  <si>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</si>
  <si>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</si>
  <si>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LLOQ (nM)</t>
  </si>
  <si>
    <t>ULOQ (nM)</t>
  </si>
  <si>
    <t>Zone Quanti</t>
  </si>
  <si>
    <t>ID Labo Tours</t>
  </si>
  <si>
    <t>ID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</si>
  <si>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</si>
  <si>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</si>
  <si>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</si>
  <si>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</si>
  <si>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</si>
  <si>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</si>
  <si>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</si>
  <si>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</si>
  <si>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</si>
  <si>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</si>
  <si>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</si>
  <si>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</si>
  <si>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</si>
  <si>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</si>
  <si>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</si>
  <si>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</si>
  <si>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</si>
  <si>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</si>
  <si>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</si>
  <si>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</si>
  <si>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</si>
  <si>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1 - 892</t>
  </si>
  <si>
    <t xml:space="preserve">2 - 901 </t>
  </si>
  <si>
    <t xml:space="preserve">3 - 911  </t>
  </si>
  <si>
    <t xml:space="preserve">4 - 913 </t>
  </si>
  <si>
    <t xml:space="preserve">5 - 915 </t>
  </si>
  <si>
    <t>6 - 955</t>
  </si>
  <si>
    <t>7 - 983</t>
  </si>
  <si>
    <t>8 - 964</t>
  </si>
  <si>
    <t>11 - 821</t>
  </si>
  <si>
    <t>12 - 1052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</si>
  <si>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</si>
  <si>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</si>
  <si>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</si>
  <si>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</si>
  <si>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</si>
  <si>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</si>
  <si>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</si>
  <si>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</si>
  <si>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</si>
  <si>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</si>
  <si>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</si>
  <si>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</si>
  <si>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</si>
  <si>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</si>
  <si>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</si>
  <si>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</si>
  <si>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</si>
  <si>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</si>
  <si>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Batch_1</t>
  </si>
  <si>
    <t>Batch_2 Dilution</t>
  </si>
  <si>
    <t xml:space="preserve">Redosage Dilution </t>
  </si>
  <si>
    <t>2024_3331</t>
  </si>
  <si>
    <t>2024_3332</t>
  </si>
  <si>
    <t>2024_3333</t>
  </si>
  <si>
    <t>2024_3334</t>
  </si>
  <si>
    <t>2024_3335</t>
  </si>
  <si>
    <t>2024_3336</t>
  </si>
  <si>
    <t>2024_3337</t>
  </si>
  <si>
    <t>2024_3338</t>
  </si>
  <si>
    <t>2024_3339</t>
  </si>
  <si>
    <t>2024_3340</t>
  </si>
  <si>
    <t>2024_3341</t>
  </si>
  <si>
    <t>2024_3342</t>
  </si>
  <si>
    <t>2024_3343</t>
  </si>
  <si>
    <t>2024_3344</t>
  </si>
  <si>
    <t>2024_3345</t>
  </si>
  <si>
    <t>2024_3346</t>
  </si>
  <si>
    <t>2024_3347</t>
  </si>
  <si>
    <t>2024_3348</t>
  </si>
  <si>
    <t>2024_3349</t>
  </si>
  <si>
    <t>2024_3350</t>
  </si>
  <si>
    <t>2024_3351</t>
  </si>
  <si>
    <t>2024_3352</t>
  </si>
  <si>
    <t>2024_3353</t>
  </si>
  <si>
    <t>2024_3354</t>
  </si>
  <si>
    <t>2024_3355</t>
  </si>
  <si>
    <t>2024_3356</t>
  </si>
  <si>
    <t>2024_3357</t>
  </si>
  <si>
    <t>2024_3358</t>
  </si>
  <si>
    <t>2024_3359</t>
  </si>
  <si>
    <t>2024_3360</t>
  </si>
  <si>
    <t>2024_3361</t>
  </si>
  <si>
    <t>QC_Low_2</t>
  </si>
  <si>
    <t>QC_Medium_2</t>
  </si>
  <si>
    <t>QC_High_2</t>
  </si>
  <si>
    <t>Comments</t>
  </si>
  <si>
    <t>Concentration calculée (pmol/mg dry matter)</t>
  </si>
  <si>
    <t>&lt; LLOQ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</si>
</sst>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69">
    <xf numFmtId="0" fontId="0" fillId="0" borderId="0" xfId="0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</cellXfs>
  <cellStyles count="3">
    <cellStyle name="Hyperlink" xfId="1" xr:uid="{9124782B-7BCA-47C6-877F-2B24DE72BD58}"/>
    <cellStyle name="Normal" xfId="0" builtinId="0"/>
    <cellStyle name="Normal 2" xfId="2" xr:uid="{EFC9CAE2-583C-46F2-AC5A-56B27C72CCDC}"/>
  </cellStyles>
  <dxfs count="8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BD10-9D5D-4BED-A047-E90B1CC28A07}">
  <sheetPr codeName="Feuil3"/>
  <dimension ref="B1:N38"/>
  <sheetViews>
    <sheetView tabSelected="1" workbookViewId="0">
      <selection activeCell="A3" sqref="A3:B24"/>
    </sheetView>
  </sheetViews>
  <sheetFormatPr defaultColWidth="11.42578125" defaultRowHeight="15" x14ac:dyDescent="0.25"/>
  <cols>
    <col min="2" max="2" width="20.85546875" customWidth="1"/>
    <col min="3" max="4" width="16.42578125" customWidth="1"/>
    <col min="5" max="14" width="14.42578125" customWidth="1"/>
  </cols>
  <sheetData>
    <row r="1" spans="2:14" ht="41.25" customHeight="1" x14ac:dyDescent="0.25">
      <c r="E1" s="45" t="s">
        <v>110</v>
      </c>
      <c r="F1" s="45"/>
      <c r="G1" s="45"/>
      <c r="H1" s="45"/>
      <c r="I1" s="45"/>
      <c r="J1" s="45"/>
      <c r="K1" s="45"/>
      <c r="L1" s="45"/>
      <c r="M1" s="45"/>
      <c r="N1" s="45"/>
    </row>
    <row r="2" spans="2:14" s="43" customFormat="1" ht="27" customHeight="1" x14ac:dyDescent="0.25">
      <c r="B2" s="1" t="s">
        <v>109</v>
      </c>
      <c r="C2" s="1" t="s">
        <v>22</v>
      </c>
      <c r="D2" s="1" t="s">
        <v>21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</row>
    <row r="3" spans="2:14" x14ac:dyDescent="0.25">
      <c r="B3" s="44" t="s">
        <v>74</v>
      </c>
      <c r="C3" s="26" t="s">
        <v>23</v>
      </c>
      <c r="D3" s="1" t="s">
        <v>75</v>
      </c>
      <c r="E3" s="39">
        <v>253.91099999999997</v>
      </c>
      <c r="F3" s="39">
        <v>24353.628000000001</v>
      </c>
      <c r="G3" s="39">
        <v>8400.57</v>
      </c>
      <c r="H3" s="40" t="s">
        <v>111</v>
      </c>
      <c r="I3" s="41">
        <v>6692.7335640138408</v>
      </c>
      <c r="J3" s="39">
        <v>1426.845</v>
      </c>
      <c r="K3" s="39">
        <v>4917.0779999999995</v>
      </c>
      <c r="L3" s="39">
        <v>657.08699999999999</v>
      </c>
      <c r="M3" s="39">
        <v>3017.721</v>
      </c>
      <c r="N3" s="39">
        <v>965.56799999999998</v>
      </c>
    </row>
    <row r="4" spans="2:14" x14ac:dyDescent="0.25">
      <c r="B4" s="1"/>
      <c r="C4" s="26" t="s">
        <v>24</v>
      </c>
      <c r="D4" s="1" t="s">
        <v>76</v>
      </c>
      <c r="E4" s="39">
        <v>407.48999999999995</v>
      </c>
      <c r="F4" s="39">
        <v>14273.712</v>
      </c>
      <c r="G4" s="39">
        <v>20368.86</v>
      </c>
      <c r="H4" s="40" t="s">
        <v>111</v>
      </c>
      <c r="I4" s="39">
        <v>5928.2039999999988</v>
      </c>
      <c r="J4" s="39">
        <v>1755.4499999999998</v>
      </c>
      <c r="K4" s="39">
        <v>9209.5560000000005</v>
      </c>
      <c r="L4" s="39">
        <v>452.60999999999996</v>
      </c>
      <c r="M4" s="39">
        <v>1624.32</v>
      </c>
      <c r="N4" s="39">
        <v>536.08199999999999</v>
      </c>
    </row>
    <row r="5" spans="2:14" x14ac:dyDescent="0.25">
      <c r="B5" s="1"/>
      <c r="C5" s="26" t="s">
        <v>25</v>
      </c>
      <c r="D5" s="1" t="s">
        <v>77</v>
      </c>
      <c r="E5" s="39">
        <v>106.096</v>
      </c>
      <c r="F5" s="39">
        <v>1717.904</v>
      </c>
      <c r="G5" s="39">
        <v>1919.4559999999999</v>
      </c>
      <c r="H5" s="40" t="s">
        <v>111</v>
      </c>
      <c r="I5" s="39">
        <v>137.10400000000001</v>
      </c>
      <c r="J5" s="39" t="s">
        <v>111</v>
      </c>
      <c r="K5" s="39">
        <v>2493.712</v>
      </c>
      <c r="L5" s="40" t="s">
        <v>111</v>
      </c>
      <c r="M5" s="39">
        <v>1321.4880000000001</v>
      </c>
      <c r="N5" s="40" t="s">
        <v>111</v>
      </c>
    </row>
    <row r="6" spans="2:14" x14ac:dyDescent="0.25">
      <c r="B6" s="1"/>
      <c r="C6" s="26" t="s">
        <v>26</v>
      </c>
      <c r="D6" s="1" t="s">
        <v>78</v>
      </c>
      <c r="E6" s="39">
        <v>362.73600000001699</v>
      </c>
      <c r="F6" s="39">
        <v>2769.0300000001298</v>
      </c>
      <c r="G6" s="39">
        <v>3730.1220000001749</v>
      </c>
      <c r="H6" s="40" t="s">
        <v>111</v>
      </c>
      <c r="I6" s="39">
        <v>536.97600000002512</v>
      </c>
      <c r="J6" s="39">
        <v>245.7180000000115</v>
      </c>
      <c r="K6" s="39">
        <v>9871.8840000004639</v>
      </c>
      <c r="L6" s="39">
        <v>497.77200000002335</v>
      </c>
      <c r="M6" s="39">
        <v>120.58200000000565</v>
      </c>
      <c r="N6" s="39">
        <v>127.90800000000598</v>
      </c>
    </row>
    <row r="7" spans="2:14" x14ac:dyDescent="0.25">
      <c r="B7" s="1"/>
      <c r="C7" s="26" t="s">
        <v>27</v>
      </c>
      <c r="D7" s="1" t="s">
        <v>79</v>
      </c>
      <c r="E7" s="39">
        <v>181.744</v>
      </c>
      <c r="F7" s="39">
        <v>26731.759999999998</v>
      </c>
      <c r="G7" s="39">
        <v>14427.632</v>
      </c>
      <c r="H7" s="40" t="s">
        <v>111</v>
      </c>
      <c r="I7" s="39">
        <v>782.62399999999991</v>
      </c>
      <c r="J7" s="39">
        <v>315.536</v>
      </c>
      <c r="K7" s="39">
        <v>536.64800000000002</v>
      </c>
      <c r="L7" s="40" t="s">
        <v>111</v>
      </c>
      <c r="M7" s="39">
        <v>50.616000000000007</v>
      </c>
      <c r="N7" s="39">
        <v>1395.3439999999998</v>
      </c>
    </row>
    <row r="8" spans="2:14" x14ac:dyDescent="0.25">
      <c r="B8" s="1"/>
      <c r="C8" s="26" t="s">
        <v>28</v>
      </c>
      <c r="D8" s="1" t="s">
        <v>80</v>
      </c>
      <c r="E8" s="39">
        <v>297.04500000000002</v>
      </c>
      <c r="F8" s="39">
        <v>53745.055</v>
      </c>
      <c r="G8" s="39">
        <v>18367.138999999999</v>
      </c>
      <c r="H8" s="39">
        <v>136.32500000000002</v>
      </c>
      <c r="I8" s="39">
        <v>5439.7980000000007</v>
      </c>
      <c r="J8" s="39">
        <v>372.81300000000005</v>
      </c>
      <c r="K8" s="39">
        <v>2090.7950000000001</v>
      </c>
      <c r="L8" s="39">
        <v>2927.4</v>
      </c>
      <c r="M8" s="39">
        <v>457.19100000000003</v>
      </c>
      <c r="N8" s="39">
        <v>525.21</v>
      </c>
    </row>
    <row r="9" spans="2:14" x14ac:dyDescent="0.25">
      <c r="B9" s="44" t="s">
        <v>74</v>
      </c>
      <c r="C9" s="26" t="s">
        <v>29</v>
      </c>
      <c r="D9" s="1" t="s">
        <v>81</v>
      </c>
      <c r="E9" s="39">
        <v>311.952</v>
      </c>
      <c r="F9" s="39">
        <v>35385.017999999996</v>
      </c>
      <c r="G9" s="39">
        <v>51437.742000000006</v>
      </c>
      <c r="H9" s="39">
        <v>582.87300000000005</v>
      </c>
      <c r="I9" s="42">
        <v>4722.0447284345046</v>
      </c>
      <c r="J9" s="39">
        <v>428.64300000000003</v>
      </c>
      <c r="K9" s="39">
        <v>15581.304</v>
      </c>
      <c r="L9" s="39">
        <v>467.92800000000005</v>
      </c>
      <c r="M9" s="39">
        <v>7038.7080000000005</v>
      </c>
      <c r="N9" s="39">
        <v>478.11300000000006</v>
      </c>
    </row>
    <row r="10" spans="2:14" x14ac:dyDescent="0.25">
      <c r="B10" s="1"/>
      <c r="C10" s="26" t="s">
        <v>30</v>
      </c>
      <c r="D10" s="1" t="s">
        <v>82</v>
      </c>
      <c r="E10" s="39">
        <v>58.607999999999457</v>
      </c>
      <c r="F10" s="39">
        <v>9506.6399999999121</v>
      </c>
      <c r="G10" s="39">
        <v>2664.4639999999758</v>
      </c>
      <c r="H10" s="40" t="s">
        <v>111</v>
      </c>
      <c r="I10" s="39">
        <v>472.55999999999563</v>
      </c>
      <c r="J10" s="39">
        <v>434.36799999999602</v>
      </c>
      <c r="K10" s="39">
        <v>350.06399999999678</v>
      </c>
      <c r="L10" s="40" t="s">
        <v>111</v>
      </c>
      <c r="M10" s="40" t="s">
        <v>111</v>
      </c>
      <c r="N10" s="40" t="s">
        <v>111</v>
      </c>
    </row>
    <row r="11" spans="2:14" x14ac:dyDescent="0.25">
      <c r="B11" s="1"/>
      <c r="C11" s="26" t="s">
        <v>31</v>
      </c>
      <c r="D11" s="1" t="s">
        <v>83</v>
      </c>
      <c r="E11" s="39">
        <v>370.548</v>
      </c>
      <c r="F11" s="39">
        <v>121681.026</v>
      </c>
      <c r="G11" s="39">
        <v>15991.937999999998</v>
      </c>
      <c r="H11" s="40" t="s">
        <v>111</v>
      </c>
      <c r="I11" s="39">
        <v>2681.2559999999999</v>
      </c>
      <c r="J11" s="39">
        <v>1109.952</v>
      </c>
      <c r="K11" s="39">
        <v>38506.535999999993</v>
      </c>
      <c r="L11" s="40" t="s">
        <v>111</v>
      </c>
      <c r="M11" s="39">
        <v>3023.8859999999995</v>
      </c>
      <c r="N11" s="40" t="s">
        <v>111</v>
      </c>
    </row>
    <row r="12" spans="2:14" x14ac:dyDescent="0.25">
      <c r="B12" s="1"/>
      <c r="C12" s="26" t="s">
        <v>32</v>
      </c>
      <c r="D12" s="1" t="s">
        <v>84</v>
      </c>
      <c r="E12" s="39">
        <v>301.85999999999154</v>
      </c>
      <c r="F12" s="39">
        <v>21174.479999999407</v>
      </c>
      <c r="G12" s="39">
        <v>3113.6399999999135</v>
      </c>
      <c r="H12" s="40" t="s">
        <v>111</v>
      </c>
      <c r="I12" s="39">
        <v>1223.369999999966</v>
      </c>
      <c r="J12" s="39">
        <v>1983.9599999999446</v>
      </c>
      <c r="K12" s="39">
        <v>2936.5199999999177</v>
      </c>
      <c r="L12" s="39">
        <v>1908.6299999999467</v>
      </c>
      <c r="M12" s="39">
        <v>366.38999999998975</v>
      </c>
      <c r="N12" s="39">
        <v>214.37999999999403</v>
      </c>
    </row>
    <row r="13" spans="2:14" x14ac:dyDescent="0.25">
      <c r="B13" s="1"/>
      <c r="C13" s="26" t="s">
        <v>33</v>
      </c>
      <c r="D13" s="1" t="s">
        <v>85</v>
      </c>
      <c r="E13" s="39">
        <v>1490.7239999999999</v>
      </c>
      <c r="F13" s="39">
        <v>81398.538</v>
      </c>
      <c r="G13" s="39">
        <v>21744.861000000001</v>
      </c>
      <c r="H13" s="40" t="s">
        <v>111</v>
      </c>
      <c r="I13" s="39">
        <v>8104.9290000000001</v>
      </c>
      <c r="J13" s="39">
        <v>1780.2660000000001</v>
      </c>
      <c r="K13" s="39">
        <v>7358.6040000000003</v>
      </c>
      <c r="L13" s="40" t="s">
        <v>111</v>
      </c>
      <c r="M13" s="39">
        <v>500.11800000000005</v>
      </c>
      <c r="N13" s="39">
        <v>2385.3510000000001</v>
      </c>
    </row>
    <row r="14" spans="2:14" x14ac:dyDescent="0.25">
      <c r="B14" s="1"/>
      <c r="C14" s="26" t="s">
        <v>34</v>
      </c>
      <c r="D14" s="1" t="s">
        <v>86</v>
      </c>
      <c r="E14" s="39">
        <v>267.52</v>
      </c>
      <c r="F14" s="39">
        <v>9723.2000000000007</v>
      </c>
      <c r="G14" s="39">
        <v>18819.52</v>
      </c>
      <c r="H14" s="40" t="s">
        <v>111</v>
      </c>
      <c r="I14" s="39">
        <v>6615.3600000000006</v>
      </c>
      <c r="J14" s="39">
        <v>1538.24</v>
      </c>
      <c r="K14" s="39">
        <v>2795.5200000000004</v>
      </c>
      <c r="L14" s="40" t="s">
        <v>111</v>
      </c>
      <c r="M14" s="39">
        <v>475.20000000000005</v>
      </c>
      <c r="N14" s="39">
        <v>2832.32</v>
      </c>
    </row>
    <row r="15" spans="2:14" x14ac:dyDescent="0.25">
      <c r="B15" s="1"/>
      <c r="C15" s="26" t="s">
        <v>35</v>
      </c>
      <c r="D15" s="1" t="s">
        <v>87</v>
      </c>
      <c r="E15" s="39">
        <v>72.47399999999999</v>
      </c>
      <c r="F15" s="39">
        <v>3497.364</v>
      </c>
      <c r="G15" s="39">
        <v>79891.728000000003</v>
      </c>
      <c r="H15" s="40" t="s">
        <v>111</v>
      </c>
      <c r="I15" s="39">
        <v>4422.3239999999996</v>
      </c>
      <c r="J15" s="39">
        <v>645.49799999999993</v>
      </c>
      <c r="K15" s="39">
        <v>2054.37</v>
      </c>
      <c r="L15" s="40" t="s">
        <v>111</v>
      </c>
      <c r="M15" s="39">
        <v>694.00199999999995</v>
      </c>
      <c r="N15" s="39">
        <v>711.48599999999999</v>
      </c>
    </row>
    <row r="16" spans="2:14" x14ac:dyDescent="0.25">
      <c r="B16" s="1"/>
      <c r="C16" s="26" t="s">
        <v>36</v>
      </c>
      <c r="D16" s="1" t="s">
        <v>88</v>
      </c>
      <c r="E16" s="39">
        <v>74.332999999996275</v>
      </c>
      <c r="F16" s="39">
        <v>3445.2179999998275</v>
      </c>
      <c r="G16" s="39">
        <v>3329.4449999998333</v>
      </c>
      <c r="H16" s="40" t="s">
        <v>111</v>
      </c>
      <c r="I16" s="39">
        <v>907.53599999995447</v>
      </c>
      <c r="J16" s="39">
        <v>553.74199999997222</v>
      </c>
      <c r="K16" s="39">
        <v>947.93999999995253</v>
      </c>
      <c r="L16" s="40" t="s">
        <v>111</v>
      </c>
      <c r="M16" s="39">
        <v>1495.2069999999248</v>
      </c>
      <c r="N16" s="40" t="s">
        <v>111</v>
      </c>
    </row>
    <row r="17" spans="2:14" x14ac:dyDescent="0.25">
      <c r="B17" s="1"/>
      <c r="C17" s="26" t="s">
        <v>37</v>
      </c>
      <c r="D17" s="1" t="s">
        <v>89</v>
      </c>
      <c r="E17" s="39">
        <v>869.68799999999987</v>
      </c>
      <c r="F17" s="39">
        <v>53141.207999999999</v>
      </c>
      <c r="G17" s="39">
        <v>20450.076000000001</v>
      </c>
      <c r="H17" s="40" t="s">
        <v>111</v>
      </c>
      <c r="I17" s="39">
        <v>5187.3899999999994</v>
      </c>
      <c r="J17" s="39">
        <v>1033.2479999999998</v>
      </c>
      <c r="K17" s="39">
        <v>1119.2579999999998</v>
      </c>
      <c r="L17" s="40" t="s">
        <v>111</v>
      </c>
      <c r="M17" s="39">
        <v>153.12599999999998</v>
      </c>
      <c r="N17" s="39">
        <v>625.476</v>
      </c>
    </row>
    <row r="18" spans="2:14" x14ac:dyDescent="0.25">
      <c r="B18" s="1"/>
      <c r="C18" s="26" t="s">
        <v>38</v>
      </c>
      <c r="D18" s="1" t="s">
        <v>90</v>
      </c>
      <c r="E18" s="39">
        <v>948.32100000000014</v>
      </c>
      <c r="F18" s="39">
        <v>35418.735000000001</v>
      </c>
      <c r="G18" s="39">
        <v>7446.384</v>
      </c>
      <c r="H18" s="39">
        <v>97.119000000000014</v>
      </c>
      <c r="I18" s="39">
        <v>28701.782999999999</v>
      </c>
      <c r="J18" s="39">
        <v>1162.1610000000001</v>
      </c>
      <c r="K18" s="39">
        <v>964.35900000000004</v>
      </c>
      <c r="L18" s="40" t="s">
        <v>111</v>
      </c>
      <c r="M18" s="39">
        <v>70.983000000000004</v>
      </c>
      <c r="N18" s="39">
        <v>3359.6640000000002</v>
      </c>
    </row>
    <row r="19" spans="2:14" x14ac:dyDescent="0.25">
      <c r="B19" s="1"/>
      <c r="C19" s="26" t="s">
        <v>39</v>
      </c>
      <c r="D19" s="1" t="s">
        <v>91</v>
      </c>
      <c r="E19" s="39">
        <v>443.25600000000003</v>
      </c>
      <c r="F19" s="39">
        <v>13412.143999999998</v>
      </c>
      <c r="G19" s="39">
        <v>2434.1120000000001</v>
      </c>
      <c r="H19" s="39">
        <v>143.37200000000001</v>
      </c>
      <c r="I19" s="39">
        <v>2091.3040000000001</v>
      </c>
      <c r="J19" s="39">
        <v>627.21600000000001</v>
      </c>
      <c r="K19" s="39">
        <v>2074.076</v>
      </c>
      <c r="L19" s="40" t="s">
        <v>111</v>
      </c>
      <c r="M19" s="39">
        <v>207.61199999999997</v>
      </c>
      <c r="N19" s="39">
        <v>3795.7080000000001</v>
      </c>
    </row>
    <row r="20" spans="2:14" x14ac:dyDescent="0.25">
      <c r="B20" s="1"/>
      <c r="C20" s="26" t="s">
        <v>40</v>
      </c>
      <c r="D20" s="1" t="s">
        <v>92</v>
      </c>
      <c r="E20" s="39">
        <v>232.10000000000002</v>
      </c>
      <c r="F20" s="39">
        <v>10386.200000000001</v>
      </c>
      <c r="G20" s="39">
        <v>12162.7</v>
      </c>
      <c r="H20" s="40" t="s">
        <v>111</v>
      </c>
      <c r="I20" s="39">
        <v>4501.2000000000007</v>
      </c>
      <c r="J20" s="39">
        <v>686.18</v>
      </c>
      <c r="K20" s="39">
        <v>444.40000000000003</v>
      </c>
      <c r="L20" s="40" t="s">
        <v>111</v>
      </c>
      <c r="M20" s="39">
        <v>281.82</v>
      </c>
      <c r="N20" s="39">
        <v>752.62000000000012</v>
      </c>
    </row>
    <row r="21" spans="2:14" x14ac:dyDescent="0.25">
      <c r="B21" s="1"/>
      <c r="C21" s="26" t="s">
        <v>41</v>
      </c>
      <c r="D21" s="1" t="s">
        <v>93</v>
      </c>
      <c r="E21" s="39">
        <v>402.34999999999997</v>
      </c>
      <c r="F21" s="39">
        <v>8292.6999999999989</v>
      </c>
      <c r="G21" s="39">
        <v>3688.1</v>
      </c>
      <c r="H21" s="40" t="s">
        <v>111</v>
      </c>
      <c r="I21" s="39">
        <v>2176.5250000000001</v>
      </c>
      <c r="J21" s="39">
        <v>236.6</v>
      </c>
      <c r="K21" s="39">
        <v>1641.25</v>
      </c>
      <c r="L21" s="40" t="s">
        <v>111</v>
      </c>
      <c r="M21" s="39">
        <v>225.875</v>
      </c>
      <c r="N21" s="39">
        <v>1944.4749999999999</v>
      </c>
    </row>
    <row r="22" spans="2:14" x14ac:dyDescent="0.25">
      <c r="B22" s="44" t="s">
        <v>74</v>
      </c>
      <c r="C22" s="26" t="s">
        <v>42</v>
      </c>
      <c r="D22" s="1" t="s">
        <v>94</v>
      </c>
      <c r="E22" s="39">
        <v>990.61900000000014</v>
      </c>
      <c r="F22" s="39">
        <v>35690.578000000001</v>
      </c>
      <c r="G22" s="39">
        <v>39564.881999999998</v>
      </c>
      <c r="H22" s="40" t="s">
        <v>111</v>
      </c>
      <c r="I22" s="41">
        <v>34007.692307692305</v>
      </c>
      <c r="J22" s="39">
        <v>1871.3519999999999</v>
      </c>
      <c r="K22" s="39">
        <v>16818.150999999998</v>
      </c>
      <c r="L22" s="40" t="s">
        <v>111</v>
      </c>
      <c r="M22" s="39">
        <v>1020.229</v>
      </c>
      <c r="N22" s="39">
        <v>2820.5169999999998</v>
      </c>
    </row>
    <row r="23" spans="2:14" x14ac:dyDescent="0.25">
      <c r="B23" s="1"/>
      <c r="C23" s="26" t="s">
        <v>43</v>
      </c>
      <c r="D23" s="1" t="s">
        <v>95</v>
      </c>
      <c r="E23" s="39">
        <v>101.91999999999999</v>
      </c>
      <c r="F23" s="39">
        <v>2964.0799999999995</v>
      </c>
      <c r="G23" s="39">
        <v>9700.5999999999985</v>
      </c>
      <c r="H23" s="40" t="s">
        <v>111</v>
      </c>
      <c r="I23" s="39">
        <v>1557.9199999999998</v>
      </c>
      <c r="J23" s="39">
        <v>161.28</v>
      </c>
      <c r="K23" s="39">
        <v>610.4</v>
      </c>
      <c r="L23" s="40" t="s">
        <v>111</v>
      </c>
      <c r="M23" s="39">
        <v>351.96</v>
      </c>
      <c r="N23" s="39">
        <v>1786.96</v>
      </c>
    </row>
    <row r="24" spans="2:14" x14ac:dyDescent="0.25">
      <c r="B24" s="1"/>
      <c r="C24" s="26" t="s">
        <v>44</v>
      </c>
      <c r="D24" s="1" t="s">
        <v>96</v>
      </c>
      <c r="E24" s="39">
        <v>11590.880000000001</v>
      </c>
      <c r="F24" s="39">
        <v>105776.26000000001</v>
      </c>
      <c r="G24" s="39">
        <v>2857.904</v>
      </c>
      <c r="H24" s="40" t="s">
        <v>111</v>
      </c>
      <c r="I24" s="39">
        <v>4231.8720000000003</v>
      </c>
      <c r="J24" s="39">
        <v>4160.1400000000003</v>
      </c>
      <c r="K24" s="39">
        <v>4697.9720000000007</v>
      </c>
      <c r="L24" s="40" t="s">
        <v>111</v>
      </c>
      <c r="M24" s="39">
        <v>976.75600000000009</v>
      </c>
      <c r="N24" s="39">
        <v>20189.240000000002</v>
      </c>
    </row>
    <row r="25" spans="2:14" x14ac:dyDescent="0.25">
      <c r="B25" s="1"/>
      <c r="C25" s="26" t="s">
        <v>45</v>
      </c>
      <c r="D25" s="1" t="s">
        <v>97</v>
      </c>
      <c r="E25" s="39">
        <v>7765.7160000000003</v>
      </c>
      <c r="F25" s="39">
        <v>89313.377999999997</v>
      </c>
      <c r="G25" s="39">
        <v>2242.6319999999996</v>
      </c>
      <c r="H25" s="40" t="s">
        <v>111</v>
      </c>
      <c r="I25" s="39">
        <v>3162.2639999999997</v>
      </c>
      <c r="J25" s="39">
        <v>2467.8359999999998</v>
      </c>
      <c r="K25" s="39">
        <v>888.76200000000006</v>
      </c>
      <c r="L25" s="40" t="s">
        <v>111</v>
      </c>
      <c r="M25" s="39">
        <v>445.40999999999997</v>
      </c>
      <c r="N25" s="39">
        <v>7437.3179999999993</v>
      </c>
    </row>
    <row r="26" spans="2:14" x14ac:dyDescent="0.25">
      <c r="B26" s="1"/>
      <c r="C26" s="26" t="s">
        <v>46</v>
      </c>
      <c r="D26" s="1" t="s">
        <v>98</v>
      </c>
      <c r="E26" s="39">
        <v>8409.1</v>
      </c>
      <c r="F26" s="39">
        <v>44513.438999999998</v>
      </c>
      <c r="G26" s="39">
        <v>1571.0660000000003</v>
      </c>
      <c r="H26" s="40" t="s">
        <v>111</v>
      </c>
      <c r="I26" s="39">
        <v>3059.799</v>
      </c>
      <c r="J26" s="39">
        <v>2634.07</v>
      </c>
      <c r="K26" s="39">
        <v>10228.337000000001</v>
      </c>
      <c r="L26" s="40" t="s">
        <v>111</v>
      </c>
      <c r="M26" s="39">
        <v>526.52099999999996</v>
      </c>
      <c r="N26" s="39">
        <v>9123.1409999999996</v>
      </c>
    </row>
    <row r="27" spans="2:14" x14ac:dyDescent="0.25">
      <c r="B27" s="1"/>
      <c r="C27" s="26" t="s">
        <v>47</v>
      </c>
      <c r="D27" s="1" t="s">
        <v>99</v>
      </c>
      <c r="E27" s="39">
        <v>13691.970000000001</v>
      </c>
      <c r="F27" s="39">
        <v>31487.291999999998</v>
      </c>
      <c r="G27" s="39">
        <v>3023.82</v>
      </c>
      <c r="H27" s="40" t="s">
        <v>111</v>
      </c>
      <c r="I27" s="39">
        <v>1160.8579999999999</v>
      </c>
      <c r="J27" s="39">
        <v>2567.5780000000004</v>
      </c>
      <c r="K27" s="39">
        <v>2849.864</v>
      </c>
      <c r="L27" s="40" t="s">
        <v>111</v>
      </c>
      <c r="M27" s="39">
        <v>415.108</v>
      </c>
      <c r="N27" s="39">
        <v>3995.65</v>
      </c>
    </row>
    <row r="28" spans="2:14" x14ac:dyDescent="0.25">
      <c r="B28" s="1"/>
      <c r="C28" s="26" t="s">
        <v>48</v>
      </c>
      <c r="D28" s="1" t="s">
        <v>100</v>
      </c>
      <c r="E28" s="39">
        <v>19175.718000000001</v>
      </c>
      <c r="F28" s="39">
        <v>63016.152000000009</v>
      </c>
      <c r="G28" s="39">
        <v>3992.808</v>
      </c>
      <c r="H28" s="40" t="s">
        <v>111</v>
      </c>
      <c r="I28" s="39">
        <v>1214.124</v>
      </c>
      <c r="J28" s="39">
        <v>5021.5379999999996</v>
      </c>
      <c r="K28" s="39">
        <v>2645.442</v>
      </c>
      <c r="L28" s="40" t="s">
        <v>111</v>
      </c>
      <c r="M28" s="39">
        <v>637.59</v>
      </c>
      <c r="N28" s="39">
        <v>5221.8779999999997</v>
      </c>
    </row>
    <row r="29" spans="2:14" x14ac:dyDescent="0.25">
      <c r="B29" s="1"/>
      <c r="C29" s="26" t="s">
        <v>49</v>
      </c>
      <c r="D29" s="1" t="s">
        <v>101</v>
      </c>
      <c r="E29" s="39">
        <v>17772.843999999997</v>
      </c>
      <c r="F29" s="39">
        <v>53678.95</v>
      </c>
      <c r="G29" s="39">
        <v>4556.8009999999995</v>
      </c>
      <c r="H29" s="40" t="s">
        <v>111</v>
      </c>
      <c r="I29" s="39">
        <v>7671.3159999999998</v>
      </c>
      <c r="J29" s="39">
        <v>3961.8349999999996</v>
      </c>
      <c r="K29" s="39">
        <v>2069.7939999999999</v>
      </c>
      <c r="L29" s="40" t="s">
        <v>111</v>
      </c>
      <c r="M29" s="39">
        <v>335.55099999999999</v>
      </c>
      <c r="N29" s="39">
        <v>6114.8259999999991</v>
      </c>
    </row>
    <row r="30" spans="2:14" x14ac:dyDescent="0.25">
      <c r="B30" s="1"/>
      <c r="C30" s="26" t="s">
        <v>50</v>
      </c>
      <c r="D30" s="1" t="s">
        <v>102</v>
      </c>
      <c r="E30" s="39">
        <v>27243.775999999998</v>
      </c>
      <c r="F30" s="39">
        <v>181029.04399999999</v>
      </c>
      <c r="G30" s="39">
        <v>4348.9319999999998</v>
      </c>
      <c r="H30" s="40" t="s">
        <v>111</v>
      </c>
      <c r="I30" s="39">
        <v>2254.9659999999999</v>
      </c>
      <c r="J30" s="39">
        <v>5959.2540000000008</v>
      </c>
      <c r="K30" s="39">
        <v>1823.1640000000002</v>
      </c>
      <c r="L30" s="40" t="s">
        <v>111</v>
      </c>
      <c r="M30" s="39">
        <v>815.62600000000009</v>
      </c>
      <c r="N30" s="39">
        <v>2898.3220000000001</v>
      </c>
    </row>
    <row r="31" spans="2:14" x14ac:dyDescent="0.25">
      <c r="B31" s="1"/>
      <c r="C31" s="26" t="s">
        <v>51</v>
      </c>
      <c r="D31" s="1" t="s">
        <v>103</v>
      </c>
      <c r="E31" s="39">
        <v>8925.84</v>
      </c>
      <c r="F31" s="39">
        <v>158907.88200000001</v>
      </c>
      <c r="G31" s="39">
        <v>11074.98</v>
      </c>
      <c r="H31" s="39">
        <v>191.1</v>
      </c>
      <c r="I31" s="39">
        <v>632.1</v>
      </c>
      <c r="J31" s="39">
        <v>3500.07</v>
      </c>
      <c r="K31" s="39">
        <v>1086.0359999999998</v>
      </c>
      <c r="L31" s="40" t="s">
        <v>111</v>
      </c>
      <c r="M31" s="39">
        <v>1053.1079999999999</v>
      </c>
      <c r="N31" s="39">
        <v>2205.5880000000002</v>
      </c>
    </row>
    <row r="32" spans="2:14" x14ac:dyDescent="0.25">
      <c r="B32" s="1"/>
      <c r="C32" s="26" t="s">
        <v>52</v>
      </c>
      <c r="D32" s="1" t="s">
        <v>104</v>
      </c>
      <c r="E32" s="39">
        <v>11372.64</v>
      </c>
      <c r="F32" s="39">
        <v>27449.95</v>
      </c>
      <c r="G32" s="39">
        <v>3310.93</v>
      </c>
      <c r="H32" s="40" t="s">
        <v>111</v>
      </c>
      <c r="I32" s="39">
        <v>1068.94</v>
      </c>
      <c r="J32" s="39">
        <v>3052.5399999999995</v>
      </c>
      <c r="K32" s="39">
        <v>4557.0600000000004</v>
      </c>
      <c r="L32" s="40" t="s">
        <v>111</v>
      </c>
      <c r="M32" s="39">
        <v>305.08</v>
      </c>
      <c r="N32" s="39">
        <v>14971.54</v>
      </c>
    </row>
    <row r="33" spans="2:14" x14ac:dyDescent="0.25">
      <c r="B33" s="1"/>
      <c r="C33" s="26" t="s">
        <v>53</v>
      </c>
      <c r="D33" s="1" t="s">
        <v>105</v>
      </c>
      <c r="E33" s="39">
        <v>14409.54</v>
      </c>
      <c r="F33" s="39">
        <v>85026.077999999994</v>
      </c>
      <c r="G33" s="39">
        <v>1739.9160000000002</v>
      </c>
      <c r="H33" s="40" t="s">
        <v>111</v>
      </c>
      <c r="I33" s="39">
        <v>1498.482</v>
      </c>
      <c r="J33" s="39">
        <v>4231.9800000000005</v>
      </c>
      <c r="K33" s="39">
        <v>1607.7239999999999</v>
      </c>
      <c r="L33" s="40" t="s">
        <v>111</v>
      </c>
      <c r="M33" s="39">
        <v>570.99599999999998</v>
      </c>
      <c r="N33" s="39">
        <v>2529.09</v>
      </c>
    </row>
    <row r="35" spans="2:14" ht="15.75" thickBot="1" x14ac:dyDescent="0.3"/>
    <row r="36" spans="2:14" ht="15.75" thickBot="1" x14ac:dyDescent="0.3">
      <c r="C36" s="25"/>
      <c r="E36" s="16" t="s">
        <v>0</v>
      </c>
      <c r="F36" s="17" t="s">
        <v>1</v>
      </c>
      <c r="G36" s="17" t="s">
        <v>2</v>
      </c>
      <c r="H36" s="17" t="s">
        <v>3</v>
      </c>
      <c r="I36" s="17" t="s">
        <v>4</v>
      </c>
      <c r="J36" s="17" t="s">
        <v>5</v>
      </c>
      <c r="K36" s="17" t="s">
        <v>6</v>
      </c>
      <c r="L36" s="17" t="s">
        <v>7</v>
      </c>
      <c r="M36" s="17" t="s">
        <v>8</v>
      </c>
      <c r="N36" s="18" t="s">
        <v>9</v>
      </c>
    </row>
    <row r="37" spans="2:14" ht="15.75" thickBot="1" x14ac:dyDescent="0.3">
      <c r="C37" s="46" t="s">
        <v>20</v>
      </c>
      <c r="D37" s="19" t="s">
        <v>18</v>
      </c>
      <c r="E37" s="22">
        <v>15</v>
      </c>
      <c r="F37" s="22">
        <v>225</v>
      </c>
      <c r="G37" s="22">
        <v>300</v>
      </c>
      <c r="H37" s="22">
        <v>7.5</v>
      </c>
      <c r="I37" s="22">
        <v>15</v>
      </c>
      <c r="J37" s="22">
        <v>7.5</v>
      </c>
      <c r="K37" s="22">
        <v>75</v>
      </c>
      <c r="L37" s="22">
        <v>75</v>
      </c>
      <c r="M37" s="22">
        <v>15</v>
      </c>
      <c r="N37" s="22">
        <v>15</v>
      </c>
    </row>
    <row r="38" spans="2:14" ht="15.75" thickBot="1" x14ac:dyDescent="0.3">
      <c r="C38" s="47"/>
      <c r="D38" s="20" t="s">
        <v>19</v>
      </c>
      <c r="E38" s="21">
        <v>10000</v>
      </c>
      <c r="F38" s="23">
        <v>150000</v>
      </c>
      <c r="G38" s="23">
        <v>200000</v>
      </c>
      <c r="H38" s="23">
        <v>5000</v>
      </c>
      <c r="I38" s="23">
        <v>10000</v>
      </c>
      <c r="J38" s="23">
        <v>5000</v>
      </c>
      <c r="K38" s="23">
        <v>50000</v>
      </c>
      <c r="L38" s="23">
        <v>50000</v>
      </c>
      <c r="M38" s="23">
        <v>10000</v>
      </c>
      <c r="N38" s="24">
        <v>10000</v>
      </c>
    </row>
  </sheetData>
  <mergeCells count="2">
    <mergeCell ref="E1:N1"/>
    <mergeCell ref="C37:C38"/>
  </mergeCells>
  <conditionalFormatting sqref="D3:D33">
    <cfRule type="cellIs" dxfId="7" priority="2" operator="equal">
      <formula>0</formula>
    </cfRule>
  </conditionalFormatting>
  <conditionalFormatting sqref="D2:N2">
    <cfRule type="cellIs" dxfId="6" priority="3" operator="equal">
      <formula>0</formula>
    </cfRule>
  </conditionalFormatting>
  <conditionalFormatting sqref="E36:N36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DB6E-14D5-4695-90F4-3BDC5E5F41FC}">
  <sheetPr codeName="Feuil4"/>
  <dimension ref="B1:Q21"/>
  <sheetViews>
    <sheetView workbookViewId="0">
      <selection activeCell="J26" sqref="J26"/>
    </sheetView>
  </sheetViews>
  <sheetFormatPr defaultColWidth="11.42578125" defaultRowHeight="15" x14ac:dyDescent="0.25"/>
  <cols>
    <col min="2" max="2" width="18.5703125" customWidth="1"/>
  </cols>
  <sheetData>
    <row r="1" spans="2:17" ht="15.75" thickBot="1" x14ac:dyDescent="0.3"/>
    <row r="2" spans="2:17" ht="15.75" thickTop="1" x14ac:dyDescent="0.25">
      <c r="C2" s="62" t="s">
        <v>10</v>
      </c>
      <c r="D2" s="63"/>
      <c r="E2" s="63"/>
      <c r="F2" s="63"/>
      <c r="G2" s="64"/>
      <c r="H2" s="65" t="s">
        <v>11</v>
      </c>
      <c r="I2" s="63"/>
      <c r="J2" s="63"/>
      <c r="K2" s="63"/>
      <c r="L2" s="66"/>
      <c r="M2" s="62" t="s">
        <v>12</v>
      </c>
      <c r="N2" s="63"/>
      <c r="O2" s="63"/>
      <c r="P2" s="63"/>
      <c r="Q2" s="64"/>
    </row>
    <row r="3" spans="2:17" x14ac:dyDescent="0.25">
      <c r="C3" s="60" t="s">
        <v>13</v>
      </c>
      <c r="D3" s="56" t="s">
        <v>14</v>
      </c>
      <c r="E3" s="56"/>
      <c r="F3" s="56" t="s">
        <v>15</v>
      </c>
      <c r="G3" s="57"/>
      <c r="H3" s="58" t="s">
        <v>13</v>
      </c>
      <c r="I3" s="56" t="s">
        <v>14</v>
      </c>
      <c r="J3" s="56"/>
      <c r="K3" s="56" t="s">
        <v>15</v>
      </c>
      <c r="L3" s="59"/>
      <c r="M3" s="60" t="s">
        <v>13</v>
      </c>
      <c r="N3" s="56" t="s">
        <v>14</v>
      </c>
      <c r="O3" s="56"/>
      <c r="P3" s="56" t="s">
        <v>15</v>
      </c>
      <c r="Q3" s="57"/>
    </row>
    <row r="4" spans="2:17" ht="45" x14ac:dyDescent="0.25">
      <c r="C4" s="60"/>
      <c r="D4" s="3" t="s">
        <v>16</v>
      </c>
      <c r="E4" s="1" t="s">
        <v>17</v>
      </c>
      <c r="F4" s="3" t="s">
        <v>16</v>
      </c>
      <c r="G4" s="4" t="s">
        <v>17</v>
      </c>
      <c r="H4" s="58"/>
      <c r="I4" s="3" t="s">
        <v>16</v>
      </c>
      <c r="J4" s="1" t="s">
        <v>17</v>
      </c>
      <c r="K4" s="3" t="s">
        <v>16</v>
      </c>
      <c r="L4" s="5" t="s">
        <v>17</v>
      </c>
      <c r="M4" s="60"/>
      <c r="N4" s="3" t="s">
        <v>16</v>
      </c>
      <c r="O4" s="1" t="s">
        <v>17</v>
      </c>
      <c r="P4" s="3" t="s">
        <v>16</v>
      </c>
      <c r="Q4" s="4" t="s">
        <v>17</v>
      </c>
    </row>
    <row r="5" spans="2:17" x14ac:dyDescent="0.25">
      <c r="B5" s="6" t="s">
        <v>0</v>
      </c>
      <c r="C5" s="7">
        <v>400</v>
      </c>
      <c r="D5" s="8">
        <v>409.1</v>
      </c>
      <c r="E5" s="1">
        <v>2.2999999999999998</v>
      </c>
      <c r="F5" s="8">
        <v>422.9</v>
      </c>
      <c r="G5" s="4">
        <v>5.7</v>
      </c>
      <c r="H5" s="9">
        <v>4000</v>
      </c>
      <c r="I5" s="8">
        <v>4284.7</v>
      </c>
      <c r="J5" s="1">
        <v>7.1</v>
      </c>
      <c r="K5" s="8">
        <v>4451.6000000000004</v>
      </c>
      <c r="L5" s="5">
        <v>11.3</v>
      </c>
      <c r="M5" s="7">
        <v>8000</v>
      </c>
      <c r="N5" s="8">
        <v>7924.2</v>
      </c>
      <c r="O5" s="1">
        <v>-0.9</v>
      </c>
      <c r="P5" s="8">
        <v>7941.1</v>
      </c>
      <c r="Q5" s="4">
        <v>-0.7</v>
      </c>
    </row>
    <row r="6" spans="2:17" x14ac:dyDescent="0.25">
      <c r="B6" s="6" t="s">
        <v>1</v>
      </c>
      <c r="C6" s="7">
        <v>6000</v>
      </c>
      <c r="D6" s="8">
        <v>6282.6</v>
      </c>
      <c r="E6" s="1">
        <v>4.7</v>
      </c>
      <c r="F6" s="8">
        <v>6379.2</v>
      </c>
      <c r="G6" s="4">
        <v>6.3</v>
      </c>
      <c r="H6" s="9">
        <v>60000</v>
      </c>
      <c r="I6" s="8">
        <v>63237.3</v>
      </c>
      <c r="J6" s="1">
        <v>5.4</v>
      </c>
      <c r="K6" s="8">
        <v>65630.899999999994</v>
      </c>
      <c r="L6" s="5">
        <v>9.4</v>
      </c>
      <c r="M6" s="7">
        <v>120000</v>
      </c>
      <c r="N6" s="8">
        <v>119808</v>
      </c>
      <c r="O6" s="1">
        <v>-0.2</v>
      </c>
      <c r="P6" s="8">
        <v>118064.7</v>
      </c>
      <c r="Q6" s="4">
        <v>-1.6</v>
      </c>
    </row>
    <row r="7" spans="2:17" x14ac:dyDescent="0.25">
      <c r="B7" s="6" t="s">
        <v>2</v>
      </c>
      <c r="C7" s="7">
        <v>8000</v>
      </c>
      <c r="D7" s="8">
        <v>8085.4</v>
      </c>
      <c r="E7" s="1">
        <v>1.1000000000000001</v>
      </c>
      <c r="F7" s="8">
        <v>8702.7999999999993</v>
      </c>
      <c r="G7" s="4">
        <v>8.8000000000000007</v>
      </c>
      <c r="H7" s="9">
        <v>80000</v>
      </c>
      <c r="I7" s="8">
        <v>85065.4</v>
      </c>
      <c r="J7" s="1">
        <v>6.3</v>
      </c>
      <c r="K7" s="8">
        <v>83672.5</v>
      </c>
      <c r="L7" s="5">
        <v>4.5999999999999996</v>
      </c>
      <c r="M7" s="7">
        <v>160000</v>
      </c>
      <c r="N7" s="8">
        <v>151680.4</v>
      </c>
      <c r="O7" s="1">
        <v>-5.2</v>
      </c>
      <c r="P7" s="8">
        <v>161828.6</v>
      </c>
      <c r="Q7" s="4">
        <v>1.1000000000000001</v>
      </c>
    </row>
    <row r="8" spans="2:17" x14ac:dyDescent="0.25">
      <c r="B8" s="6" t="s">
        <v>3</v>
      </c>
      <c r="C8" s="7">
        <v>200</v>
      </c>
      <c r="D8" s="8">
        <v>190.2</v>
      </c>
      <c r="E8" s="1">
        <v>-4.9000000000000004</v>
      </c>
      <c r="F8" s="8">
        <v>203.8</v>
      </c>
      <c r="G8" s="4">
        <v>1.9</v>
      </c>
      <c r="H8" s="9">
        <v>2000</v>
      </c>
      <c r="I8" s="8">
        <v>2153.6999999999998</v>
      </c>
      <c r="J8" s="1">
        <v>7.7</v>
      </c>
      <c r="K8" s="8">
        <v>2042.3</v>
      </c>
      <c r="L8" s="5">
        <v>2.1</v>
      </c>
      <c r="M8" s="7">
        <v>4000</v>
      </c>
      <c r="N8" s="8">
        <v>4013.1</v>
      </c>
      <c r="O8" s="1">
        <v>0.3</v>
      </c>
      <c r="P8" s="8">
        <v>4086.2</v>
      </c>
      <c r="Q8" s="4">
        <v>2.2000000000000002</v>
      </c>
    </row>
    <row r="9" spans="2:17" x14ac:dyDescent="0.25">
      <c r="B9" s="6" t="s">
        <v>4</v>
      </c>
      <c r="C9" s="7">
        <v>400</v>
      </c>
      <c r="D9" s="8">
        <v>399.4</v>
      </c>
      <c r="E9" s="1">
        <v>-0.2</v>
      </c>
      <c r="F9" s="8">
        <v>414.6</v>
      </c>
      <c r="G9" s="4">
        <v>3.6</v>
      </c>
      <c r="H9" s="9">
        <v>4000</v>
      </c>
      <c r="I9" s="8">
        <v>4211.5</v>
      </c>
      <c r="J9" s="1">
        <v>5.3</v>
      </c>
      <c r="K9" s="8">
        <v>4124.7</v>
      </c>
      <c r="L9" s="5">
        <v>3.1</v>
      </c>
      <c r="M9" s="7">
        <v>8000</v>
      </c>
      <c r="N9" s="8">
        <v>8135.8</v>
      </c>
      <c r="O9" s="1">
        <v>1.7</v>
      </c>
      <c r="P9" s="8">
        <v>8396.7999999999993</v>
      </c>
      <c r="Q9" s="4">
        <v>5</v>
      </c>
    </row>
    <row r="10" spans="2:17" x14ac:dyDescent="0.25">
      <c r="B10" s="6" t="s">
        <v>5</v>
      </c>
      <c r="C10" s="7">
        <v>200</v>
      </c>
      <c r="D10" s="8">
        <v>201.1</v>
      </c>
      <c r="E10" s="1">
        <v>0.5</v>
      </c>
      <c r="F10" s="8">
        <v>201.1</v>
      </c>
      <c r="G10" s="4">
        <v>0.6</v>
      </c>
      <c r="H10" s="9">
        <v>2000</v>
      </c>
      <c r="I10" s="8">
        <v>2193</v>
      </c>
      <c r="J10" s="1">
        <v>9.6999999999999993</v>
      </c>
      <c r="K10" s="8">
        <v>1997.3</v>
      </c>
      <c r="L10" s="5">
        <v>-0.1</v>
      </c>
      <c r="M10" s="7">
        <v>4000</v>
      </c>
      <c r="N10" s="8">
        <v>4259.5</v>
      </c>
      <c r="O10" s="1">
        <v>6.5</v>
      </c>
      <c r="P10" s="8">
        <v>4152.3999999999996</v>
      </c>
      <c r="Q10" s="4">
        <v>3.8</v>
      </c>
    </row>
    <row r="11" spans="2:17" x14ac:dyDescent="0.25">
      <c r="B11" s="6" t="s">
        <v>6</v>
      </c>
      <c r="C11" s="7">
        <v>2000</v>
      </c>
      <c r="D11" s="8">
        <v>2054</v>
      </c>
      <c r="E11" s="1">
        <v>2.7</v>
      </c>
      <c r="F11" s="8">
        <v>2087.5</v>
      </c>
      <c r="G11" s="4">
        <v>4.4000000000000004</v>
      </c>
      <c r="H11" s="9">
        <v>20000</v>
      </c>
      <c r="I11" s="8">
        <v>21948.2</v>
      </c>
      <c r="J11" s="1">
        <v>9.6999999999999993</v>
      </c>
      <c r="K11" s="8">
        <v>20595.5</v>
      </c>
      <c r="L11" s="5">
        <v>3</v>
      </c>
      <c r="M11" s="7">
        <v>40000</v>
      </c>
      <c r="N11" s="8">
        <v>41288.800000000003</v>
      </c>
      <c r="O11" s="1">
        <v>3.2</v>
      </c>
      <c r="P11" s="8">
        <v>40598.1</v>
      </c>
      <c r="Q11" s="4">
        <v>1.5</v>
      </c>
    </row>
    <row r="12" spans="2:17" x14ac:dyDescent="0.25">
      <c r="B12" s="6" t="s">
        <v>7</v>
      </c>
      <c r="C12" s="7">
        <v>2000</v>
      </c>
      <c r="D12" s="8">
        <v>2164.5</v>
      </c>
      <c r="E12" s="1">
        <v>8.1999999999999993</v>
      </c>
      <c r="F12" s="8">
        <v>2230.8000000000002</v>
      </c>
      <c r="G12" s="4">
        <v>11.5</v>
      </c>
      <c r="H12" s="9">
        <v>20000</v>
      </c>
      <c r="I12" s="8">
        <v>22259.1</v>
      </c>
      <c r="J12" s="1">
        <v>11.3</v>
      </c>
      <c r="K12" s="8">
        <v>20751</v>
      </c>
      <c r="L12" s="5">
        <v>3.8</v>
      </c>
      <c r="M12" s="7">
        <v>40000</v>
      </c>
      <c r="N12" s="8">
        <v>41148.699999999997</v>
      </c>
      <c r="O12" s="1">
        <v>2.9</v>
      </c>
      <c r="P12" s="8">
        <v>40120.1</v>
      </c>
      <c r="Q12" s="4">
        <v>0.3</v>
      </c>
    </row>
    <row r="13" spans="2:17" x14ac:dyDescent="0.25">
      <c r="B13" s="6" t="s">
        <v>8</v>
      </c>
      <c r="C13" s="7">
        <v>400</v>
      </c>
      <c r="D13" s="8">
        <v>411.3</v>
      </c>
      <c r="E13" s="1">
        <v>2.8</v>
      </c>
      <c r="F13" s="8">
        <v>440.5</v>
      </c>
      <c r="G13" s="4">
        <v>10.1</v>
      </c>
      <c r="H13" s="9">
        <v>4000</v>
      </c>
      <c r="I13" s="8">
        <v>4571.8</v>
      </c>
      <c r="J13" s="1">
        <v>14.3</v>
      </c>
      <c r="K13" s="8">
        <v>4349.7</v>
      </c>
      <c r="L13" s="5">
        <v>8.6999999999999993</v>
      </c>
      <c r="M13" s="7">
        <v>8000</v>
      </c>
      <c r="N13" s="8">
        <v>8065.2</v>
      </c>
      <c r="O13" s="1">
        <v>0.8</v>
      </c>
      <c r="P13" s="8">
        <v>7915.3</v>
      </c>
      <c r="Q13" s="4">
        <v>-1.1000000000000001</v>
      </c>
    </row>
    <row r="14" spans="2:17" ht="15.75" thickBot="1" x14ac:dyDescent="0.3">
      <c r="B14" s="6" t="s">
        <v>9</v>
      </c>
      <c r="C14" s="10">
        <v>400</v>
      </c>
      <c r="D14" s="11">
        <v>385.5</v>
      </c>
      <c r="E14" s="12">
        <v>-3.6</v>
      </c>
      <c r="F14" s="11">
        <v>381.9</v>
      </c>
      <c r="G14" s="13">
        <v>-4.5</v>
      </c>
      <c r="H14" s="14">
        <v>4000</v>
      </c>
      <c r="I14" s="11">
        <v>4239.8999999999996</v>
      </c>
      <c r="J14" s="12">
        <v>6</v>
      </c>
      <c r="K14" s="11">
        <v>4228.8999999999996</v>
      </c>
      <c r="L14" s="15">
        <v>5.7</v>
      </c>
      <c r="M14" s="10">
        <v>8000</v>
      </c>
      <c r="N14" s="11">
        <v>7992.4</v>
      </c>
      <c r="O14" s="12">
        <v>-0.1</v>
      </c>
      <c r="P14" s="11">
        <v>8120.1</v>
      </c>
      <c r="Q14" s="13">
        <v>1.5</v>
      </c>
    </row>
    <row r="15" spans="2:17" ht="15.75" thickTop="1" x14ac:dyDescent="0.25"/>
    <row r="17" spans="2:17" ht="15.75" thickBot="1" x14ac:dyDescent="0.3"/>
    <row r="18" spans="2:17" x14ac:dyDescent="0.25">
      <c r="C18" s="48" t="s">
        <v>10</v>
      </c>
      <c r="D18" s="49"/>
      <c r="E18" s="49"/>
      <c r="F18" s="49"/>
      <c r="G18" s="50"/>
      <c r="H18" s="51" t="s">
        <v>11</v>
      </c>
      <c r="I18" s="49"/>
      <c r="J18" s="49"/>
      <c r="K18" s="49"/>
      <c r="L18" s="52"/>
      <c r="M18" s="53" t="s">
        <v>12</v>
      </c>
      <c r="N18" s="49"/>
      <c r="O18" s="49"/>
      <c r="P18" s="49"/>
      <c r="Q18" s="54"/>
    </row>
    <row r="19" spans="2:17" x14ac:dyDescent="0.25">
      <c r="C19" s="55" t="s">
        <v>13</v>
      </c>
      <c r="D19" s="56" t="s">
        <v>14</v>
      </c>
      <c r="E19" s="56"/>
      <c r="F19" s="56" t="s">
        <v>15</v>
      </c>
      <c r="G19" s="57"/>
      <c r="H19" s="58" t="s">
        <v>13</v>
      </c>
      <c r="I19" s="56" t="s">
        <v>14</v>
      </c>
      <c r="J19" s="56"/>
      <c r="K19" s="56" t="s">
        <v>15</v>
      </c>
      <c r="L19" s="59"/>
      <c r="M19" s="60" t="s">
        <v>13</v>
      </c>
      <c r="N19" s="56" t="s">
        <v>14</v>
      </c>
      <c r="O19" s="56"/>
      <c r="P19" s="56" t="s">
        <v>15</v>
      </c>
      <c r="Q19" s="61"/>
    </row>
    <row r="20" spans="2:17" ht="45" x14ac:dyDescent="0.25">
      <c r="C20" s="55"/>
      <c r="D20" s="3" t="s">
        <v>16</v>
      </c>
      <c r="E20" s="1" t="s">
        <v>17</v>
      </c>
      <c r="F20" s="3" t="s">
        <v>16</v>
      </c>
      <c r="G20" s="4" t="s">
        <v>17</v>
      </c>
      <c r="H20" s="58"/>
      <c r="I20" s="3" t="s">
        <v>16</v>
      </c>
      <c r="J20" s="1" t="s">
        <v>17</v>
      </c>
      <c r="K20" s="3" t="s">
        <v>16</v>
      </c>
      <c r="L20" s="5" t="s">
        <v>17</v>
      </c>
      <c r="M20" s="60"/>
      <c r="N20" s="3" t="s">
        <v>16</v>
      </c>
      <c r="O20" s="1" t="s">
        <v>17</v>
      </c>
      <c r="P20" s="3" t="s">
        <v>16</v>
      </c>
      <c r="Q20" s="30" t="s">
        <v>17</v>
      </c>
    </row>
    <row r="21" spans="2:17" ht="15.75" thickBot="1" x14ac:dyDescent="0.3">
      <c r="B21" s="6" t="s">
        <v>4</v>
      </c>
      <c r="C21" s="31">
        <v>400</v>
      </c>
      <c r="D21" s="32">
        <v>399.4</v>
      </c>
      <c r="E21" s="33">
        <v>-0.2</v>
      </c>
      <c r="F21" s="32">
        <v>414.6</v>
      </c>
      <c r="G21" s="34">
        <v>3.6</v>
      </c>
      <c r="H21" s="35">
        <v>4000</v>
      </c>
      <c r="I21" s="32">
        <v>4211.5</v>
      </c>
      <c r="J21" s="33">
        <v>5.3</v>
      </c>
      <c r="K21" s="32">
        <v>4124.7</v>
      </c>
      <c r="L21" s="36">
        <v>3.1</v>
      </c>
      <c r="M21" s="37">
        <v>8000</v>
      </c>
      <c r="N21" s="32">
        <v>8135.8</v>
      </c>
      <c r="O21" s="33">
        <v>1.7</v>
      </c>
      <c r="P21" s="32">
        <v>8396.7999999999993</v>
      </c>
      <c r="Q21" s="38">
        <v>5</v>
      </c>
    </row>
  </sheetData>
  <mergeCells count="24">
    <mergeCell ref="N3:O3"/>
    <mergeCell ref="P3:Q3"/>
    <mergeCell ref="C2:G2"/>
    <mergeCell ref="H2:L2"/>
    <mergeCell ref="M2:Q2"/>
    <mergeCell ref="C3:C4"/>
    <mergeCell ref="D3:E3"/>
    <mergeCell ref="F3:G3"/>
    <mergeCell ref="H3:H4"/>
    <mergeCell ref="I3:J3"/>
    <mergeCell ref="K3:L3"/>
    <mergeCell ref="M3:M4"/>
    <mergeCell ref="C18:G18"/>
    <mergeCell ref="H18:L18"/>
    <mergeCell ref="M18:Q18"/>
    <mergeCell ref="C19:C20"/>
    <mergeCell ref="D19:E19"/>
    <mergeCell ref="F19:G19"/>
    <mergeCell ref="H19:H20"/>
    <mergeCell ref="I19:J19"/>
    <mergeCell ref="K19:L19"/>
    <mergeCell ref="M19:M20"/>
    <mergeCell ref="N19:O19"/>
    <mergeCell ref="P19:Q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58DE-57A2-486D-A663-4F2C154077F7}">
  <sheetPr codeName="Feuil5"/>
  <dimension ref="A2:N21"/>
  <sheetViews>
    <sheetView workbookViewId="0">
      <selection activeCell="G7" sqref="G7"/>
    </sheetView>
  </sheetViews>
  <sheetFormatPr defaultColWidth="11.42578125" defaultRowHeight="15" x14ac:dyDescent="0.25"/>
  <sheetData>
    <row r="2" spans="1:14" x14ac:dyDescent="0.25">
      <c r="A2" s="67" t="s">
        <v>72</v>
      </c>
      <c r="B2" s="1"/>
      <c r="C2" s="27">
        <v>1</v>
      </c>
      <c r="D2" s="27">
        <v>2</v>
      </c>
      <c r="E2" s="27">
        <v>3</v>
      </c>
      <c r="F2" s="27">
        <v>4</v>
      </c>
      <c r="G2" s="27">
        <v>5</v>
      </c>
      <c r="H2" s="27">
        <v>6</v>
      </c>
      <c r="I2" s="27">
        <v>7</v>
      </c>
      <c r="J2" s="27">
        <v>8</v>
      </c>
      <c r="K2" s="27">
        <v>9</v>
      </c>
      <c r="L2" s="27">
        <v>10</v>
      </c>
      <c r="M2" s="27">
        <v>11</v>
      </c>
      <c r="N2" s="27">
        <v>12</v>
      </c>
    </row>
    <row r="3" spans="1:14" x14ac:dyDescent="0.25">
      <c r="A3" s="67"/>
      <c r="B3" s="27" t="s">
        <v>54</v>
      </c>
      <c r="C3" s="28" t="s">
        <v>55</v>
      </c>
      <c r="D3" s="28" t="s">
        <v>56</v>
      </c>
      <c r="E3" s="28" t="s">
        <v>57</v>
      </c>
      <c r="F3" s="28" t="s">
        <v>58</v>
      </c>
      <c r="G3" s="28" t="s">
        <v>59</v>
      </c>
      <c r="H3" s="28" t="s">
        <v>60</v>
      </c>
      <c r="I3" s="28" t="s">
        <v>61</v>
      </c>
      <c r="J3" s="29" t="s">
        <v>62</v>
      </c>
      <c r="K3" s="29" t="s">
        <v>63</v>
      </c>
      <c r="L3" s="29" t="s">
        <v>64</v>
      </c>
      <c r="M3" s="1" t="s">
        <v>75</v>
      </c>
      <c r="N3" s="1" t="s">
        <v>76</v>
      </c>
    </row>
    <row r="4" spans="1:14" x14ac:dyDescent="0.25">
      <c r="A4" s="67"/>
      <c r="B4" s="27" t="s">
        <v>65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</row>
    <row r="5" spans="1:14" x14ac:dyDescent="0.25">
      <c r="A5" s="67"/>
      <c r="B5" s="27" t="s">
        <v>66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100</v>
      </c>
    </row>
    <row r="6" spans="1:14" x14ac:dyDescent="0.25">
      <c r="A6" s="67"/>
      <c r="B6" s="27" t="s">
        <v>67</v>
      </c>
      <c r="C6" s="1" t="s">
        <v>101</v>
      </c>
      <c r="D6" s="1" t="s">
        <v>102</v>
      </c>
      <c r="E6" s="1" t="s">
        <v>103</v>
      </c>
      <c r="F6" s="1" t="s">
        <v>104</v>
      </c>
      <c r="G6" s="1" t="s">
        <v>105</v>
      </c>
      <c r="H6" s="29" t="s">
        <v>106</v>
      </c>
      <c r="I6" s="29" t="s">
        <v>107</v>
      </c>
      <c r="J6" s="29" t="s">
        <v>108</v>
      </c>
      <c r="K6" s="1"/>
      <c r="L6" s="1"/>
      <c r="M6" s="1"/>
      <c r="N6" s="1"/>
    </row>
    <row r="7" spans="1:14" x14ac:dyDescent="0.25">
      <c r="A7" s="67"/>
      <c r="B7" s="27" t="s">
        <v>68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67"/>
      <c r="B8" s="27" t="s">
        <v>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67"/>
      <c r="B9" s="27" t="s">
        <v>70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67"/>
      <c r="B10" s="27" t="s">
        <v>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3" spans="1:14" x14ac:dyDescent="0.25">
      <c r="A13" s="68" t="s">
        <v>73</v>
      </c>
      <c r="B13" s="1"/>
      <c r="C13" s="27">
        <v>1</v>
      </c>
      <c r="D13" s="27">
        <v>2</v>
      </c>
      <c r="E13" s="27">
        <v>3</v>
      </c>
      <c r="F13" s="27">
        <v>4</v>
      </c>
      <c r="G13" s="27">
        <v>5</v>
      </c>
      <c r="H13" s="27">
        <v>6</v>
      </c>
      <c r="I13" s="27">
        <v>7</v>
      </c>
      <c r="J13" s="27">
        <v>8</v>
      </c>
      <c r="K13" s="27">
        <v>9</v>
      </c>
      <c r="L13" s="27">
        <v>10</v>
      </c>
      <c r="M13" s="27">
        <v>11</v>
      </c>
      <c r="N13" s="27">
        <v>12</v>
      </c>
    </row>
    <row r="14" spans="1:14" x14ac:dyDescent="0.25">
      <c r="A14" s="68"/>
      <c r="B14" s="27" t="s">
        <v>54</v>
      </c>
      <c r="C14" s="28" t="s">
        <v>55</v>
      </c>
      <c r="D14" s="28" t="s">
        <v>56</v>
      </c>
      <c r="E14" s="28" t="s">
        <v>57</v>
      </c>
      <c r="F14" s="28" t="s">
        <v>58</v>
      </c>
      <c r="G14" s="28" t="s">
        <v>59</v>
      </c>
      <c r="H14" s="28" t="s">
        <v>60</v>
      </c>
      <c r="I14" s="28" t="s">
        <v>61</v>
      </c>
      <c r="J14" s="29" t="s">
        <v>62</v>
      </c>
      <c r="K14" s="29" t="s">
        <v>63</v>
      </c>
      <c r="L14" s="29" t="s">
        <v>64</v>
      </c>
      <c r="M14" s="1" t="s">
        <v>75</v>
      </c>
      <c r="N14" s="1" t="s">
        <v>81</v>
      </c>
    </row>
    <row r="15" spans="1:14" x14ac:dyDescent="0.25">
      <c r="A15" s="68"/>
      <c r="B15" s="27" t="s">
        <v>65</v>
      </c>
      <c r="C15" s="1" t="s">
        <v>94</v>
      </c>
      <c r="D15" s="29" t="s">
        <v>106</v>
      </c>
      <c r="E15" s="29" t="s">
        <v>107</v>
      </c>
      <c r="F15" s="29" t="s">
        <v>108</v>
      </c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68"/>
      <c r="B16" s="27" t="s">
        <v>66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68"/>
      <c r="B17" s="27" t="s">
        <v>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68"/>
      <c r="B18" s="27" t="s">
        <v>68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68"/>
      <c r="B19" s="27" t="s">
        <v>69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68"/>
      <c r="B20" s="27" t="s">
        <v>70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68"/>
      <c r="B21" s="27" t="s">
        <v>71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2">
    <mergeCell ref="A2:A10"/>
    <mergeCell ref="A13:A21"/>
  </mergeCells>
  <conditionalFormatting sqref="C15">
    <cfRule type="cellIs" dxfId="4" priority="1" operator="equal">
      <formula>0</formula>
    </cfRule>
  </conditionalFormatting>
  <conditionalFormatting sqref="C6:G6">
    <cfRule type="cellIs" dxfId="3" priority="3" operator="equal">
      <formula>0</formula>
    </cfRule>
  </conditionalFormatting>
  <conditionalFormatting sqref="C4:N5">
    <cfRule type="cellIs" dxfId="2" priority="4" operator="equal">
      <formula>0</formula>
    </cfRule>
  </conditionalFormatting>
  <conditionalFormatting sqref="M3:N3">
    <cfRule type="cellIs" dxfId="1" priority="6" operator="equal">
      <formula>0</formula>
    </cfRule>
  </conditionalFormatting>
  <conditionalFormatting sqref="M14:N14"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 set</vt:lpstr>
      <vt:lpstr>Quality control</vt:lpstr>
      <vt:lpstr>Plate Map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Dupuy</dc:creator>
  <cp:lastModifiedBy>Rodrigo Formiga</cp:lastModifiedBy>
  <dcterms:created xsi:type="dcterms:W3CDTF">2024-12-04T09:27:20Z</dcterms:created>
  <dcterms:modified xsi:type="dcterms:W3CDTF">2025-01-21T12:10:48Z</dcterms:modified>
</cp:coreProperties>
</file>