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Archive 2024\0 Spectrométrie de Masse\Xevo TQ-XS\Dosage TRP 2024.PRO\Rapports\FP_2024_65_Harry_Sokol\Selles\"/>
    </mc:Choice>
  </mc:AlternateContent>
  <xr:revisionPtr revIDLastSave="0" documentId="13_ncr:1_{95DC1488-AB9E-41D2-AAF7-B70E95A20458}" xr6:coauthVersionLast="47" xr6:coauthVersionMax="47" xr10:uidLastSave="{00000000-0000-0000-0000-000000000000}"/>
  <bookViews>
    <workbookView xWindow="-108" yWindow="-108" windowWidth="23256" windowHeight="12456" tabRatio="922" xr2:uid="{85B62A20-5591-4DE3-AEA1-FA6CE3CDC0ED}"/>
  </bookViews>
  <sheets>
    <sheet name="Normalisation_Data set client" sheetId="21" r:id="rId1"/>
    <sheet name="Quality Control" sheetId="22" r:id="rId2"/>
    <sheet name="Plate Map" sheetId="2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<sst xmlns="http://schemas.openxmlformats.org/spreadsheetml/2006/main" count="379" uniqueCount="123">
  <si>
    <t>Batch_1</t>
  </si>
  <si>
    <t>Batch_2</t>
  </si>
  <si>
    <t>Low Level QC</t>
  </si>
  <si>
    <t>Medium Level QC</t>
  </si>
  <si>
    <t>High Level QC</t>
  </si>
  <si>
    <t>Theorical Concentrations (nM)</t>
  </si>
  <si>
    <t>Beginning of the batch</t>
  </si>
  <si>
    <t>End of the batch</t>
  </si>
  <si>
    <t>Calculated Concentrations (nM)</t>
  </si>
  <si>
    <t>% Diff</t>
  </si>
  <si>
    <t>A</t>
  </si>
  <si>
    <t>L1</t>
  </si>
  <si>
    <t>L2</t>
  </si>
  <si>
    <t>L3</t>
  </si>
  <si>
    <t>L4</t>
  </si>
  <si>
    <t>L5</t>
  </si>
  <si>
    <t>L6</t>
  </si>
  <si>
    <t>L7</t>
  </si>
  <si>
    <t>QC_Low_1</t>
  </si>
  <si>
    <t>QC_Medium_1</t>
  </si>
  <si>
    <t>QC_High_1</t>
  </si>
  <si>
    <t>B</t>
  </si>
  <si>
    <t>C</t>
  </si>
  <si>
    <t>D</t>
  </si>
  <si>
    <t>E</t>
  </si>
  <si>
    <t>F</t>
  </si>
  <si>
    <t>G</t>
  </si>
  <si>
    <t>H</t>
  </si>
  <si>
    <t>Sample ID Tours</t>
  </si>
  <si>
    <t>Comments</t>
  </si>
  <si>
    <t>QC_Low_2</t>
  </si>
  <si>
    <t>QC_Medium_2</t>
  </si>
  <si>
    <t>QC_High_2</t>
  </si>
  <si>
    <t>2024_3331</t>
  </si>
  <si>
    <t>2024_3332</t>
  </si>
  <si>
    <t>2024_3333</t>
  </si>
  <si>
    <t>2024_3334</t>
  </si>
  <si>
    <t>2024_3335</t>
  </si>
  <si>
    <t>2024_3336</t>
  </si>
  <si>
    <t>2024_3337</t>
  </si>
  <si>
    <t>2024_3338</t>
  </si>
  <si>
    <t>2024_3339</t>
  </si>
  <si>
    <t>2024_3340</t>
  </si>
  <si>
    <t>2024_3341</t>
  </si>
  <si>
    <t>2024_3342</t>
  </si>
  <si>
    <t>2024_3343</t>
  </si>
  <si>
    <t>2024_3344</t>
  </si>
  <si>
    <t>2024_3345</t>
  </si>
  <si>
    <t>2024_3346</t>
  </si>
  <si>
    <t>2024_3347</t>
  </si>
  <si>
    <t>2024_3348</t>
  </si>
  <si>
    <t>2024_3349</t>
  </si>
  <si>
    <t>2024_3350</t>
  </si>
  <si>
    <t>2024_3351</t>
  </si>
  <si>
    <t>2024_3352</t>
  </si>
  <si>
    <t>2024_3353</t>
  </si>
  <si>
    <t>2024_3354</t>
  </si>
  <si>
    <t>2024_3355</t>
  </si>
  <si>
    <t>2024_3356</t>
  </si>
  <si>
    <t>2024_3357</t>
  </si>
  <si>
    <t>2024_3358</t>
  </si>
  <si>
    <t>2024_3359</t>
  </si>
  <si>
    <t>2024_3360</t>
  </si>
  <si>
    <t>2024_3361</t>
  </si>
  <si>
    <t>Calculated Concentration (pmol / mg dry matter)</t>
  </si>
  <si>
    <t>Picolinic acid</t>
  </si>
  <si>
    <t>Quinolinic acid</t>
  </si>
  <si>
    <t>3-OH-Kynurenine</t>
  </si>
  <si>
    <t>Serotonine</t>
  </si>
  <si>
    <t>5-OH-Tryptophane</t>
  </si>
  <si>
    <t>Kynurenine</t>
  </si>
  <si>
    <t>3-OH-Anthranilic acid</t>
  </si>
  <si>
    <t>Tryptamine</t>
  </si>
  <si>
    <t>Tryptophane</t>
  </si>
  <si>
    <t>5-OH-Indole acetic acid</t>
  </si>
  <si>
    <t>Indole-3-Sulfate</t>
  </si>
  <si>
    <t>N-acetyl-serotonine</t>
  </si>
  <si>
    <t>Xanthurenic acid</t>
  </si>
  <si>
    <t>Indole-3-acetamide</t>
  </si>
  <si>
    <t>Kynurenic acid</t>
  </si>
  <si>
    <t>Indole-3-Lactic acid</t>
  </si>
  <si>
    <t>Indole-3-Aldehyde</t>
  </si>
  <si>
    <t>Indole-3-Acetic acid</t>
  </si>
  <si>
    <t>Tryptophol</t>
  </si>
  <si>
    <t>Melatonine</t>
  </si>
  <si>
    <t>Indole-3-propionic acid</t>
  </si>
  <si>
    <t>Indole</t>
  </si>
  <si>
    <t>Batch_Dosage indole</t>
  </si>
  <si>
    <t>Sample ID</t>
  </si>
  <si>
    <t>Cosmic 27</t>
  </si>
  <si>
    <t>Cosmic 29</t>
  </si>
  <si>
    <t>Cosmic 32</t>
  </si>
  <si>
    <t>Cosmic 34</t>
  </si>
  <si>
    <t>Cosmic 35</t>
  </si>
  <si>
    <t>Cosmic 46</t>
  </si>
  <si>
    <t>Cosmic 45</t>
  </si>
  <si>
    <t>Cosmic 48</t>
  </si>
  <si>
    <t>Cosmic 51</t>
  </si>
  <si>
    <t>Cosmic 54</t>
  </si>
  <si>
    <t>Cosmic 31</t>
  </si>
  <si>
    <t>Cosmic 36</t>
  </si>
  <si>
    <t>Cosmic 39</t>
  </si>
  <si>
    <t>Cosmic 40</t>
  </si>
  <si>
    <t>Cosmic 41</t>
  </si>
  <si>
    <t>Cosmic 52</t>
  </si>
  <si>
    <t>Cosmic 57</t>
  </si>
  <si>
    <t>Cosmic 53</t>
  </si>
  <si>
    <t>Cosmic 58</t>
  </si>
  <si>
    <t>Cosmic 56</t>
  </si>
  <si>
    <t>Cosmic 60</t>
  </si>
  <si>
    <t>1 - 892</t>
  </si>
  <si>
    <t xml:space="preserve">2 - 901 </t>
  </si>
  <si>
    <t xml:space="preserve">3 - 911  </t>
  </si>
  <si>
    <t xml:space="preserve">4 - 913 </t>
  </si>
  <si>
    <t xml:space="preserve">5 - 915 </t>
  </si>
  <si>
    <t>6 - 955</t>
  </si>
  <si>
    <t>7 - 983</t>
  </si>
  <si>
    <t>8 - 964</t>
  </si>
  <si>
    <t>11 - 821</t>
  </si>
  <si>
    <t>12 - 1052</t>
  </si>
  <si>
    <t>The Samples  could not be quantified with dilution procedure due to lack of quantity</t>
  </si>
  <si>
    <t>&lt; LLOQ</t>
  </si>
  <si>
    <t>&gt; ULOQ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</si>
</sst>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2" borderId="0" xfId="0" applyFill="1"/>
    <xf numFmtId="0" fontId="0" fillId="0" borderId="8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0" xfId="0" applyFill="1" applyAlignment="1">
      <alignment wrapText="1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theme="1"/>
      </font>
      <fill>
        <patternFill>
          <fgColor indexed="64"/>
          <bgColor theme="4" tint="0.59996337778862885"/>
        </patternFill>
      </fill>
    </dxf>
    <dxf>
      <font>
        <color auto="1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DD22-CD99-46F2-9580-7460CEB4CFF5}">
  <sheetPr codeName="Feuil6">
    <tabColor rgb="FF008000"/>
  </sheetPr>
  <dimension ref="C1:AA33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30" sqref="H30"/>
    </sheetView>
  </sheetViews>
  <sheetFormatPr baseColWidth="10" defaultRowHeight="14.4" x14ac:dyDescent="0.3"/>
  <cols>
    <col min="3" max="3" width="82.33203125" bestFit="1" customWidth="1"/>
    <col min="4" max="4" width="17.5546875" customWidth="1"/>
    <col min="5" max="5" width="17" customWidth="1"/>
    <col min="6" max="25" width="15.88671875" customWidth="1"/>
    <col min="26" max="27" width="16.44140625" customWidth="1"/>
  </cols>
  <sheetData>
    <row r="1" spans="3:27" ht="33.75" customHeight="1" x14ac:dyDescent="0.3">
      <c r="F1" s="34" t="s">
        <v>64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3:27" ht="28.8" x14ac:dyDescent="0.3">
      <c r="C2" s="1" t="s">
        <v>29</v>
      </c>
      <c r="D2" s="1" t="s">
        <v>88</v>
      </c>
      <c r="E2" s="1" t="s">
        <v>28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  <c r="L2" s="6" t="s">
        <v>71</v>
      </c>
      <c r="M2" s="6" t="s">
        <v>72</v>
      </c>
      <c r="N2" s="6" t="s">
        <v>73</v>
      </c>
      <c r="O2" s="6" t="s">
        <v>74</v>
      </c>
      <c r="P2" s="6" t="s">
        <v>75</v>
      </c>
      <c r="Q2" s="6" t="s">
        <v>76</v>
      </c>
      <c r="R2" s="6" t="s">
        <v>77</v>
      </c>
      <c r="S2" s="6" t="s">
        <v>78</v>
      </c>
      <c r="T2" s="6" t="s">
        <v>79</v>
      </c>
      <c r="U2" s="6" t="s">
        <v>80</v>
      </c>
      <c r="V2" s="6" t="s">
        <v>81</v>
      </c>
      <c r="W2" s="6" t="s">
        <v>82</v>
      </c>
      <c r="X2" s="6" t="s">
        <v>83</v>
      </c>
      <c r="Y2" s="6" t="s">
        <v>84</v>
      </c>
      <c r="Z2" s="6" t="s">
        <v>85</v>
      </c>
      <c r="AA2" s="1" t="s">
        <v>86</v>
      </c>
    </row>
    <row r="3" spans="3:27" x14ac:dyDescent="0.3">
      <c r="C3" s="1"/>
      <c r="D3" s="1" t="s">
        <v>89</v>
      </c>
      <c r="E3" s="1" t="s">
        <v>33</v>
      </c>
      <c r="F3" s="15">
        <v>959.47445482866044</v>
      </c>
      <c r="G3" s="15">
        <v>10.870404984423676</v>
      </c>
      <c r="H3" s="15" t="s">
        <v>121</v>
      </c>
      <c r="I3" s="15">
        <v>12.077258566978193</v>
      </c>
      <c r="J3" s="15">
        <v>1.5000000000000002</v>
      </c>
      <c r="K3" s="15">
        <v>14.077881619937694</v>
      </c>
      <c r="L3" s="15">
        <v>32.476635514018689</v>
      </c>
      <c r="M3" s="15" t="s">
        <v>121</v>
      </c>
      <c r="N3" s="15">
        <v>4047.4271028037383</v>
      </c>
      <c r="O3" s="15">
        <v>5.3971962616822431</v>
      </c>
      <c r="P3" s="15" t="s">
        <v>121</v>
      </c>
      <c r="Q3" s="15">
        <v>1.5361370716510905</v>
      </c>
      <c r="R3" s="15">
        <v>20.231464174454828</v>
      </c>
      <c r="S3" s="15">
        <v>0.44205607476635517</v>
      </c>
      <c r="T3" s="15">
        <v>35.845794392523366</v>
      </c>
      <c r="U3" s="15">
        <v>4851.0467289719627</v>
      </c>
      <c r="V3" s="15">
        <v>45.103738317757006</v>
      </c>
      <c r="W3" s="15">
        <v>63.884735202492209</v>
      </c>
      <c r="X3" s="15">
        <v>10.141433021806854</v>
      </c>
      <c r="Y3" s="15">
        <v>0.82024922118380061</v>
      </c>
      <c r="Z3" s="15" t="s">
        <v>121</v>
      </c>
      <c r="AA3" s="15">
        <v>66.74361370716511</v>
      </c>
    </row>
    <row r="4" spans="3:27" x14ac:dyDescent="0.3">
      <c r="C4" s="1"/>
      <c r="D4" s="1" t="s">
        <v>90</v>
      </c>
      <c r="E4" s="1" t="s">
        <v>34</v>
      </c>
      <c r="F4" s="15">
        <v>1469.5797872340427</v>
      </c>
      <c r="G4" s="15">
        <v>100.21737588652483</v>
      </c>
      <c r="H4" s="15">
        <v>10.406737588652483</v>
      </c>
      <c r="I4" s="15">
        <v>44.031560283687945</v>
      </c>
      <c r="J4" s="15">
        <v>9.7595744680851055</v>
      </c>
      <c r="K4" s="15">
        <v>104.87446808510639</v>
      </c>
      <c r="L4" s="15">
        <v>86.783687943262407</v>
      </c>
      <c r="M4" s="15">
        <v>1620.2450354609932</v>
      </c>
      <c r="N4" s="15">
        <v>41550.377304964539</v>
      </c>
      <c r="O4" s="15">
        <v>53.198226950354616</v>
      </c>
      <c r="P4" s="15" t="s">
        <v>121</v>
      </c>
      <c r="Q4" s="15">
        <v>6.9581560283687951</v>
      </c>
      <c r="R4" s="15">
        <v>83.589007092198585</v>
      </c>
      <c r="S4" s="15">
        <v>1.1939716312056738</v>
      </c>
      <c r="T4" s="15">
        <v>169.24290780141845</v>
      </c>
      <c r="U4" s="15">
        <v>719.91914893617025</v>
      </c>
      <c r="V4" s="15">
        <v>102.17872340425532</v>
      </c>
      <c r="W4" s="15">
        <v>171.73687943262414</v>
      </c>
      <c r="X4" s="15">
        <v>15.907801418439718</v>
      </c>
      <c r="Y4" s="15">
        <v>0.2475177304964539</v>
      </c>
      <c r="Z4" s="15">
        <v>412.14219858156031</v>
      </c>
      <c r="AA4" s="15">
        <v>3677.1308510638301</v>
      </c>
    </row>
    <row r="5" spans="3:27" x14ac:dyDescent="0.3">
      <c r="C5" s="1"/>
      <c r="D5" s="1" t="s">
        <v>91</v>
      </c>
      <c r="E5" s="1" t="s">
        <v>35</v>
      </c>
      <c r="F5" s="15">
        <v>23.538815789473688</v>
      </c>
      <c r="G5" s="15">
        <v>54.451973684210522</v>
      </c>
      <c r="H5" s="15">
        <v>17.926644736842103</v>
      </c>
      <c r="I5" s="15">
        <v>6.8598684210526315</v>
      </c>
      <c r="J5" s="15">
        <v>1.6348684210526314</v>
      </c>
      <c r="K5" s="15">
        <v>85.854605263157893</v>
      </c>
      <c r="L5" s="15">
        <v>14.819407894736843</v>
      </c>
      <c r="M5" s="15">
        <v>22.778618421052631</v>
      </c>
      <c r="N5" s="15">
        <v>48966.702960526316</v>
      </c>
      <c r="O5" s="15">
        <v>1.6125</v>
      </c>
      <c r="P5" s="15" t="s">
        <v>121</v>
      </c>
      <c r="Q5" s="15">
        <v>0.44276315789473686</v>
      </c>
      <c r="R5" s="15">
        <v>4.3233552631578949</v>
      </c>
      <c r="S5" s="15">
        <v>0.9782894736842106</v>
      </c>
      <c r="T5" s="15">
        <v>12.074999999999999</v>
      </c>
      <c r="U5" s="15">
        <v>6327.5421052631573</v>
      </c>
      <c r="V5" s="15">
        <v>36.755263157894738</v>
      </c>
      <c r="W5" s="15">
        <v>19.992105263157896</v>
      </c>
      <c r="X5" s="15" t="s">
        <v>121</v>
      </c>
      <c r="Y5" s="15" t="s">
        <v>121</v>
      </c>
      <c r="Z5" s="15" t="s">
        <v>121</v>
      </c>
      <c r="AA5" s="15">
        <v>132.16315789473686</v>
      </c>
    </row>
    <row r="6" spans="3:27" x14ac:dyDescent="0.3">
      <c r="C6" s="1"/>
      <c r="D6" s="1" t="s">
        <v>92</v>
      </c>
      <c r="E6" s="1" t="s">
        <v>36</v>
      </c>
      <c r="F6" s="15">
        <v>592.88636363633589</v>
      </c>
      <c r="G6" s="15">
        <v>57.085353535350855</v>
      </c>
      <c r="H6" s="15" t="s">
        <v>121</v>
      </c>
      <c r="I6" s="15">
        <v>13.345959595958972</v>
      </c>
      <c r="J6" s="15">
        <v>1.3393939393938767</v>
      </c>
      <c r="K6" s="15">
        <v>32.209090909089397</v>
      </c>
      <c r="L6" s="15">
        <v>102.50757575757096</v>
      </c>
      <c r="M6" s="15">
        <v>8.0474747474743697</v>
      </c>
      <c r="N6" s="15">
        <v>18759.422222221343</v>
      </c>
      <c r="O6" s="15">
        <v>14.220707070706403</v>
      </c>
      <c r="P6" s="15" t="s">
        <v>121</v>
      </c>
      <c r="Q6" s="15">
        <v>3.7080808080806342</v>
      </c>
      <c r="R6" s="15">
        <v>38.567676767674961</v>
      </c>
      <c r="S6" s="15">
        <v>3.6095959595957905</v>
      </c>
      <c r="T6" s="15">
        <v>65.192929292926237</v>
      </c>
      <c r="U6" s="15">
        <v>12074.339898989332</v>
      </c>
      <c r="V6" s="15">
        <v>134.52121212120579</v>
      </c>
      <c r="W6" s="15">
        <v>409.80202020200102</v>
      </c>
      <c r="X6" s="15">
        <v>3.4494949494947877</v>
      </c>
      <c r="Y6" s="15" t="s">
        <v>121</v>
      </c>
      <c r="Z6" s="15" t="s">
        <v>121</v>
      </c>
      <c r="AA6" s="15">
        <v>1327.8944444443823</v>
      </c>
    </row>
    <row r="7" spans="3:27" x14ac:dyDescent="0.3">
      <c r="C7" s="1"/>
      <c r="D7" s="1" t="s">
        <v>93</v>
      </c>
      <c r="E7" s="1" t="s">
        <v>37</v>
      </c>
      <c r="F7" s="15">
        <v>367.62905405405405</v>
      </c>
      <c r="G7" s="15">
        <v>84.627027027027026</v>
      </c>
      <c r="H7" s="15" t="s">
        <v>121</v>
      </c>
      <c r="I7" s="15">
        <v>15.511824324324325</v>
      </c>
      <c r="J7" s="15">
        <v>12.684121621621623</v>
      </c>
      <c r="K7" s="15">
        <v>27.015202702702705</v>
      </c>
      <c r="L7" s="15" t="s">
        <v>121</v>
      </c>
      <c r="M7" s="15">
        <v>1358.045945945946</v>
      </c>
      <c r="N7" s="15">
        <v>49655.667905405404</v>
      </c>
      <c r="O7" s="15">
        <v>18.574999999999999</v>
      </c>
      <c r="P7" s="15">
        <v>193.82601351351352</v>
      </c>
      <c r="Q7" s="15">
        <v>0.24324324324324323</v>
      </c>
      <c r="R7" s="15">
        <v>19.964527027027028</v>
      </c>
      <c r="S7" s="15">
        <v>1.7986486486486486</v>
      </c>
      <c r="T7" s="15">
        <v>159.82972972972973</v>
      </c>
      <c r="U7" s="15">
        <v>9203.4402027027027</v>
      </c>
      <c r="V7" s="15">
        <v>79.754391891891899</v>
      </c>
      <c r="W7" s="15">
        <v>35.704729729729735</v>
      </c>
      <c r="X7" s="15">
        <v>10.344932432432433</v>
      </c>
      <c r="Y7" s="15" t="s">
        <v>121</v>
      </c>
      <c r="Z7" s="15">
        <v>339.88952702702704</v>
      </c>
      <c r="AA7" s="15">
        <v>713.79054054054063</v>
      </c>
    </row>
    <row r="8" spans="3:27" x14ac:dyDescent="0.3">
      <c r="C8" s="25" t="s">
        <v>120</v>
      </c>
      <c r="D8" s="1" t="s">
        <v>94</v>
      </c>
      <c r="E8" s="1" t="s">
        <v>38</v>
      </c>
      <c r="F8" s="15">
        <v>431.691637630662</v>
      </c>
      <c r="G8" s="15">
        <v>238.61951219512193</v>
      </c>
      <c r="H8" s="15">
        <v>7.7024390243902445</v>
      </c>
      <c r="I8" s="15">
        <v>57.971080139372823</v>
      </c>
      <c r="J8" s="15">
        <v>1.8282229965156793</v>
      </c>
      <c r="K8" s="15">
        <v>25.719163763066199</v>
      </c>
      <c r="L8" s="15" t="s">
        <v>122</v>
      </c>
      <c r="M8" s="15">
        <v>5.5240418118466899</v>
      </c>
      <c r="N8" s="15">
        <v>9236.8756097560963</v>
      </c>
      <c r="O8" s="15">
        <v>46.357491289198599</v>
      </c>
      <c r="P8" s="15" t="s">
        <v>121</v>
      </c>
      <c r="Q8" s="15">
        <v>1.687108013937282</v>
      </c>
      <c r="R8" s="15">
        <v>108.35470383275261</v>
      </c>
      <c r="S8" s="15">
        <v>0.85052264808362366</v>
      </c>
      <c r="T8" s="15">
        <v>234.72404181184669</v>
      </c>
      <c r="U8" s="15" t="s">
        <v>122</v>
      </c>
      <c r="V8" s="15">
        <v>44.407665505226483</v>
      </c>
      <c r="W8" s="15">
        <v>100.94216027874565</v>
      </c>
      <c r="X8" s="15">
        <v>13.652613240418118</v>
      </c>
      <c r="Y8" s="15" t="s">
        <v>121</v>
      </c>
      <c r="Z8" s="15">
        <v>77.526829268292687</v>
      </c>
      <c r="AA8" s="15">
        <v>2998.6233449477354</v>
      </c>
    </row>
    <row r="9" spans="3:27" x14ac:dyDescent="0.3">
      <c r="C9" s="25" t="s">
        <v>120</v>
      </c>
      <c r="D9" s="1" t="s">
        <v>95</v>
      </c>
      <c r="E9" s="1" t="s">
        <v>39</v>
      </c>
      <c r="F9" s="15">
        <v>187.1213058419244</v>
      </c>
      <c r="G9" s="15">
        <v>89.748453608247416</v>
      </c>
      <c r="H9" s="15">
        <v>36.043298969072161</v>
      </c>
      <c r="I9" s="15" t="s">
        <v>121</v>
      </c>
      <c r="J9" s="15">
        <v>0.56529209621993126</v>
      </c>
      <c r="K9" s="15">
        <v>46.316494845360822</v>
      </c>
      <c r="L9" s="15" t="s">
        <v>122</v>
      </c>
      <c r="M9" s="15" t="s">
        <v>121</v>
      </c>
      <c r="N9" s="15">
        <v>2545.3690721649486</v>
      </c>
      <c r="O9" s="15">
        <v>3.3725085910652921</v>
      </c>
      <c r="P9" s="15">
        <v>16.89656357388316</v>
      </c>
      <c r="Q9" s="15" t="s">
        <v>121</v>
      </c>
      <c r="R9" s="15">
        <v>5.7378006872852225</v>
      </c>
      <c r="S9" s="15" t="s">
        <v>121</v>
      </c>
      <c r="T9" s="15">
        <v>18.069759450171819</v>
      </c>
      <c r="U9" s="15">
        <v>3174.366323024055</v>
      </c>
      <c r="V9" s="15">
        <v>35.60446735395189</v>
      </c>
      <c r="W9" s="15">
        <v>8.8608247422680417</v>
      </c>
      <c r="X9" s="15" t="s">
        <v>121</v>
      </c>
      <c r="Y9" s="15" t="s">
        <v>121</v>
      </c>
      <c r="Z9" s="15">
        <v>4.4982817869415808</v>
      </c>
      <c r="AA9" s="15">
        <v>1154.7027491408935</v>
      </c>
    </row>
    <row r="10" spans="3:27" x14ac:dyDescent="0.3">
      <c r="C10" s="1"/>
      <c r="D10" s="1" t="s">
        <v>96</v>
      </c>
      <c r="E10" s="1" t="s">
        <v>40</v>
      </c>
      <c r="F10" s="15">
        <v>3706.4318181818521</v>
      </c>
      <c r="G10" s="15">
        <v>18.109659090909258</v>
      </c>
      <c r="H10" s="15" t="s">
        <v>121</v>
      </c>
      <c r="I10" s="15">
        <v>75.823863636364322</v>
      </c>
      <c r="J10" s="15">
        <v>0.77840909090909816</v>
      </c>
      <c r="K10" s="15">
        <v>9.2125000000000838</v>
      </c>
      <c r="L10" s="15">
        <v>117.13068181818289</v>
      </c>
      <c r="M10" s="15">
        <v>29.003409090909358</v>
      </c>
      <c r="N10" s="15">
        <v>1390.4181818181946</v>
      </c>
      <c r="O10" s="15">
        <v>55.105681818182326</v>
      </c>
      <c r="P10" s="15" t="s">
        <v>121</v>
      </c>
      <c r="Q10" s="15">
        <v>3.1897727272727567</v>
      </c>
      <c r="R10" s="15">
        <v>202.95000000000186</v>
      </c>
      <c r="S10" s="15">
        <v>1.6096590909091057</v>
      </c>
      <c r="T10" s="15">
        <v>477.4386363636408</v>
      </c>
      <c r="U10" s="15">
        <v>5346.3278409091399</v>
      </c>
      <c r="V10" s="15">
        <v>139.00284090909219</v>
      </c>
      <c r="W10" s="15">
        <v>149.14943181818319</v>
      </c>
      <c r="X10" s="15">
        <v>1.3119318181818302</v>
      </c>
      <c r="Y10" s="15" t="s">
        <v>121</v>
      </c>
      <c r="Z10" s="15">
        <v>1406.0539772727404</v>
      </c>
      <c r="AA10" s="15">
        <v>1809.3090909091077</v>
      </c>
    </row>
    <row r="11" spans="3:27" x14ac:dyDescent="0.3">
      <c r="C11" s="1"/>
      <c r="D11" s="1" t="s">
        <v>97</v>
      </c>
      <c r="E11" s="1" t="s">
        <v>41</v>
      </c>
      <c r="F11" s="15">
        <v>909.05177304964536</v>
      </c>
      <c r="G11" s="15">
        <v>49.399645390070923</v>
      </c>
      <c r="H11" s="15" t="s">
        <v>121</v>
      </c>
      <c r="I11" s="15">
        <v>47.643262411347528</v>
      </c>
      <c r="J11" s="15">
        <v>2.8648936170212771</v>
      </c>
      <c r="K11" s="15">
        <v>36.003900709219863</v>
      </c>
      <c r="L11" s="15">
        <v>81.598226950354615</v>
      </c>
      <c r="M11" s="15">
        <v>3.4436170212765962</v>
      </c>
      <c r="N11" s="15">
        <v>8121.9936170212777</v>
      </c>
      <c r="O11" s="15">
        <v>17.197517730496454</v>
      </c>
      <c r="P11" s="15" t="s">
        <v>121</v>
      </c>
      <c r="Q11" s="15">
        <v>0.2414893617021277</v>
      </c>
      <c r="R11" s="15">
        <v>92.727304964539002</v>
      </c>
      <c r="S11" s="15">
        <v>1.8819148936170216</v>
      </c>
      <c r="T11" s="15">
        <v>222.61382978723404</v>
      </c>
      <c r="U11" s="15">
        <v>10463.105319148935</v>
      </c>
      <c r="V11" s="15">
        <v>76.628014184397173</v>
      </c>
      <c r="W11" s="15">
        <v>124.1241134751773</v>
      </c>
      <c r="X11" s="15">
        <v>5.6929078014184391</v>
      </c>
      <c r="Y11" s="15">
        <v>0.39964539007092204</v>
      </c>
      <c r="Z11" s="15">
        <v>145.5613475177305</v>
      </c>
      <c r="AA11" s="15">
        <v>2561.8085106382982</v>
      </c>
    </row>
    <row r="12" spans="3:27" x14ac:dyDescent="0.3">
      <c r="C12" s="1"/>
      <c r="D12" s="1" t="s">
        <v>98</v>
      </c>
      <c r="E12" s="1" t="s">
        <v>42</v>
      </c>
      <c r="F12" s="15">
        <v>1055.0803703703998</v>
      </c>
      <c r="G12" s="15">
        <v>96.425925925928624</v>
      </c>
      <c r="H12" s="15">
        <v>31.884444444445332</v>
      </c>
      <c r="I12" s="15">
        <v>34.005555555556505</v>
      </c>
      <c r="J12" s="15">
        <v>4.1207407407408558</v>
      </c>
      <c r="K12" s="15">
        <v>137.78629629630015</v>
      </c>
      <c r="L12" s="15">
        <v>179.79444444444945</v>
      </c>
      <c r="M12" s="15" t="s">
        <v>121</v>
      </c>
      <c r="N12" s="15">
        <v>24607.727777778466</v>
      </c>
      <c r="O12" s="15">
        <v>82.334074074076369</v>
      </c>
      <c r="P12" s="15" t="s">
        <v>121</v>
      </c>
      <c r="Q12" s="15">
        <v>9.5811111111113778</v>
      </c>
      <c r="R12" s="15">
        <v>85.774814814817219</v>
      </c>
      <c r="S12" s="15">
        <v>1.2059259259259596</v>
      </c>
      <c r="T12" s="15">
        <v>384.23814814815887</v>
      </c>
      <c r="U12" s="15">
        <v>14973.867777778196</v>
      </c>
      <c r="V12" s="15">
        <v>146.82444444444855</v>
      </c>
      <c r="W12" s="15">
        <v>487.04888888890247</v>
      </c>
      <c r="X12" s="15">
        <v>23.277037037037687</v>
      </c>
      <c r="Y12" s="15">
        <v>0.85518518518520914</v>
      </c>
      <c r="Z12" s="15" t="s">
        <v>121</v>
      </c>
      <c r="AA12" s="15">
        <v>2488.1666666667361</v>
      </c>
    </row>
    <row r="13" spans="3:27" x14ac:dyDescent="0.3">
      <c r="C13" s="1"/>
      <c r="D13" s="1" t="s">
        <v>99</v>
      </c>
      <c r="E13" s="1" t="s">
        <v>43</v>
      </c>
      <c r="F13" s="15">
        <v>512.55171339563867</v>
      </c>
      <c r="G13" s="15">
        <v>99.057320872274147</v>
      </c>
      <c r="H13" s="15">
        <v>19.96386292834891</v>
      </c>
      <c r="I13" s="15">
        <v>82.480062305295959</v>
      </c>
      <c r="J13" s="15">
        <v>31.215576323987538</v>
      </c>
      <c r="K13" s="15">
        <v>10.594704049844237</v>
      </c>
      <c r="L13" s="15">
        <v>25.51869158878505</v>
      </c>
      <c r="M13" s="15">
        <v>2.3676012461059188</v>
      </c>
      <c r="N13" s="15">
        <v>7749.339563862929</v>
      </c>
      <c r="O13" s="15">
        <v>60.896261682242994</v>
      </c>
      <c r="P13" s="15" t="s">
        <v>121</v>
      </c>
      <c r="Q13" s="15">
        <v>14.147040498442367</v>
      </c>
      <c r="R13" s="15">
        <v>180.11308411214955</v>
      </c>
      <c r="S13" s="15">
        <v>0.80685358255451711</v>
      </c>
      <c r="T13" s="15">
        <v>204.00654205607478</v>
      </c>
      <c r="U13" s="15">
        <v>173.7246105919003</v>
      </c>
      <c r="V13" s="15">
        <v>176.45389408099689</v>
      </c>
      <c r="W13" s="15">
        <v>929.06884735202493</v>
      </c>
      <c r="X13" s="15" t="s">
        <v>121</v>
      </c>
      <c r="Y13" s="15">
        <v>0.66417445482866044</v>
      </c>
      <c r="Z13" s="15">
        <v>1666.3193146417445</v>
      </c>
      <c r="AA13" s="15">
        <v>1839.0894080996884</v>
      </c>
    </row>
    <row r="14" spans="3:27" x14ac:dyDescent="0.3">
      <c r="C14" s="1"/>
      <c r="D14" s="1" t="s">
        <v>100</v>
      </c>
      <c r="E14" s="1" t="s">
        <v>44</v>
      </c>
      <c r="F14" s="15">
        <v>1656.63</v>
      </c>
      <c r="G14" s="15" t="s">
        <v>121</v>
      </c>
      <c r="H14" s="15">
        <v>11.905937499999999</v>
      </c>
      <c r="I14" s="15">
        <v>33.585312500000001</v>
      </c>
      <c r="J14" s="15">
        <v>1.9137499999999998</v>
      </c>
      <c r="K14" s="15">
        <v>2.5762499999999999</v>
      </c>
      <c r="L14" s="15">
        <v>37.334374999999994</v>
      </c>
      <c r="M14" s="15">
        <v>13.7621875</v>
      </c>
      <c r="N14" s="15">
        <v>3135.3903124999997</v>
      </c>
      <c r="O14" s="15" t="s">
        <v>121</v>
      </c>
      <c r="P14" s="15" t="s">
        <v>121</v>
      </c>
      <c r="Q14" s="15">
        <v>5.8334375000000005</v>
      </c>
      <c r="R14" s="15">
        <v>2.2459375000000001</v>
      </c>
      <c r="S14" s="15">
        <v>0.63749999999999996</v>
      </c>
      <c r="T14" s="15">
        <v>4.4031249999999993</v>
      </c>
      <c r="U14" s="15">
        <v>223.97843749999998</v>
      </c>
      <c r="V14" s="15">
        <v>103.85437499999999</v>
      </c>
      <c r="W14" s="15">
        <v>135.8046875</v>
      </c>
      <c r="X14" s="15">
        <v>1.6065624999999999</v>
      </c>
      <c r="Y14" s="15" t="s">
        <v>121</v>
      </c>
      <c r="Z14" s="15">
        <v>218.10093749999999</v>
      </c>
      <c r="AA14" s="15">
        <v>449.12281249999995</v>
      </c>
    </row>
    <row r="15" spans="3:27" x14ac:dyDescent="0.3">
      <c r="C15" s="1"/>
      <c r="D15" s="1" t="s">
        <v>101</v>
      </c>
      <c r="E15" s="1" t="s">
        <v>45</v>
      </c>
      <c r="F15" s="15">
        <v>2369.9549645390071</v>
      </c>
      <c r="G15" s="15">
        <v>23.460992907801419</v>
      </c>
      <c r="H15" s="15" t="s">
        <v>121</v>
      </c>
      <c r="I15" s="15">
        <v>9.6996453900709234</v>
      </c>
      <c r="J15" s="15">
        <v>14.184397163120568</v>
      </c>
      <c r="K15" s="15">
        <v>97.111347517730493</v>
      </c>
      <c r="L15" s="15">
        <v>18.484751773049648</v>
      </c>
      <c r="M15" s="15">
        <v>18.711347517730498</v>
      </c>
      <c r="N15" s="15">
        <v>5637.4198581560286</v>
      </c>
      <c r="O15" s="15">
        <v>6.1890070921985814</v>
      </c>
      <c r="P15" s="15" t="s">
        <v>121</v>
      </c>
      <c r="Q15" s="15">
        <v>3.0436170212765958</v>
      </c>
      <c r="R15" s="15">
        <v>11.865248226950355</v>
      </c>
      <c r="S15" s="15">
        <v>0.60567375886524821</v>
      </c>
      <c r="T15" s="15">
        <v>138.75141843971633</v>
      </c>
      <c r="U15" s="15">
        <v>243.54858156028371</v>
      </c>
      <c r="V15" s="15">
        <v>57.201773049645389</v>
      </c>
      <c r="W15" s="15">
        <v>177.30744680851066</v>
      </c>
      <c r="X15" s="15">
        <v>0.61453900709219866</v>
      </c>
      <c r="Y15" s="15" t="s">
        <v>121</v>
      </c>
      <c r="Z15" s="15">
        <v>229.6390070921986</v>
      </c>
      <c r="AA15" s="15">
        <v>2829.6741134751774</v>
      </c>
    </row>
    <row r="16" spans="3:27" x14ac:dyDescent="0.3">
      <c r="C16" s="1"/>
      <c r="D16" s="1" t="s">
        <v>102</v>
      </c>
      <c r="E16" s="1" t="s">
        <v>46</v>
      </c>
      <c r="F16" s="15">
        <v>1297.8567567568218</v>
      </c>
      <c r="G16" s="15" t="s">
        <v>121</v>
      </c>
      <c r="H16" s="15" t="s">
        <v>121</v>
      </c>
      <c r="I16" s="15">
        <v>5.6768339768342608</v>
      </c>
      <c r="J16" s="15">
        <v>0.79034749034753005</v>
      </c>
      <c r="K16" s="15">
        <v>4.8528957528959964</v>
      </c>
      <c r="L16" s="15">
        <v>28.689189189190628</v>
      </c>
      <c r="M16" s="15">
        <v>3.2540540540542175</v>
      </c>
      <c r="N16" s="15">
        <v>1055.907722007775</v>
      </c>
      <c r="O16" s="15">
        <v>18.808494208495151</v>
      </c>
      <c r="P16" s="15">
        <v>45.365250965253239</v>
      </c>
      <c r="Q16" s="15">
        <v>1.4185328185328896</v>
      </c>
      <c r="R16" s="15">
        <v>3.4366795366797089</v>
      </c>
      <c r="S16" s="15">
        <v>0.45868725868728166</v>
      </c>
      <c r="T16" s="15">
        <v>10.663706563707098</v>
      </c>
      <c r="U16" s="15">
        <v>90.950579150583707</v>
      </c>
      <c r="V16" s="15">
        <v>45.43552123552351</v>
      </c>
      <c r="W16" s="15">
        <v>142.52857142857857</v>
      </c>
      <c r="X16" s="15" t="s">
        <v>121</v>
      </c>
      <c r="Y16" s="15" t="s">
        <v>121</v>
      </c>
      <c r="Z16" s="15">
        <v>98.97837837838334</v>
      </c>
      <c r="AA16" s="15">
        <v>188.1749034749129</v>
      </c>
    </row>
    <row r="17" spans="3:27" x14ac:dyDescent="0.3">
      <c r="C17" s="1"/>
      <c r="D17" s="1" t="s">
        <v>103</v>
      </c>
      <c r="E17" s="1" t="s">
        <v>47</v>
      </c>
      <c r="F17" s="15">
        <v>750.72553191489362</v>
      </c>
      <c r="G17" s="15" t="s">
        <v>121</v>
      </c>
      <c r="H17" s="15">
        <v>18.199645390070923</v>
      </c>
      <c r="I17" s="15">
        <v>12.02340425531915</v>
      </c>
      <c r="J17" s="15">
        <v>1.1230496453900709</v>
      </c>
      <c r="K17" s="15">
        <v>9.7102836879432619</v>
      </c>
      <c r="L17" s="15">
        <v>50.837234042553192</v>
      </c>
      <c r="M17" s="15">
        <v>5.0776595744680861</v>
      </c>
      <c r="N17" s="15">
        <v>5260.6460992907805</v>
      </c>
      <c r="O17" s="15">
        <v>8.5819148936170215</v>
      </c>
      <c r="P17" s="15" t="s">
        <v>121</v>
      </c>
      <c r="Q17" s="15">
        <v>2.7567375886524825</v>
      </c>
      <c r="R17" s="15">
        <v>71.383687943262416</v>
      </c>
      <c r="S17" s="15">
        <v>0.40354609929078011</v>
      </c>
      <c r="T17" s="15">
        <v>129.02375886524823</v>
      </c>
      <c r="U17" s="15">
        <v>474.54397163120569</v>
      </c>
      <c r="V17" s="15">
        <v>140.72021276595746</v>
      </c>
      <c r="W17" s="15">
        <v>913.08120567375897</v>
      </c>
      <c r="X17" s="15">
        <v>2.7180851063829787</v>
      </c>
      <c r="Y17" s="15" t="s">
        <v>121</v>
      </c>
      <c r="Z17" s="15">
        <v>927.50673758865253</v>
      </c>
      <c r="AA17" s="15">
        <v>968.79148936170225</v>
      </c>
    </row>
    <row r="18" spans="3:27" x14ac:dyDescent="0.3">
      <c r="C18" s="25" t="s">
        <v>120</v>
      </c>
      <c r="D18" s="1" t="s">
        <v>104</v>
      </c>
      <c r="E18" s="1" t="s">
        <v>48</v>
      </c>
      <c r="F18" s="15">
        <v>622.9191919191918</v>
      </c>
      <c r="G18" s="15">
        <v>75.292929292929287</v>
      </c>
      <c r="H18" s="15">
        <v>7.7218855218855218</v>
      </c>
      <c r="I18" s="15">
        <v>90.196969696969688</v>
      </c>
      <c r="J18" s="15" t="s">
        <v>122</v>
      </c>
      <c r="K18" s="15">
        <v>6.9215488215488206</v>
      </c>
      <c r="L18" s="15">
        <v>21.58350168350168</v>
      </c>
      <c r="M18" s="15">
        <v>19.277104377104376</v>
      </c>
      <c r="N18" s="15">
        <v>3743.1888888888889</v>
      </c>
      <c r="O18" s="15">
        <v>12.577104377104376</v>
      </c>
      <c r="P18" s="15" t="s">
        <v>121</v>
      </c>
      <c r="Q18" s="15">
        <v>18.176094276094275</v>
      </c>
      <c r="R18" s="15">
        <v>30.418181818181814</v>
      </c>
      <c r="S18" s="15" t="s">
        <v>121</v>
      </c>
      <c r="T18" s="15">
        <v>59.82895622895623</v>
      </c>
      <c r="U18" s="15">
        <v>231.80841750841751</v>
      </c>
      <c r="V18" s="15">
        <v>59.11515151515151</v>
      </c>
      <c r="W18" s="15" t="s">
        <v>122</v>
      </c>
      <c r="X18" s="15">
        <v>1.7757575757575756</v>
      </c>
      <c r="Y18" s="15" t="s">
        <v>121</v>
      </c>
      <c r="Z18" s="15">
        <v>869.18114478114467</v>
      </c>
      <c r="AA18" s="15">
        <v>1212.7272727272727</v>
      </c>
    </row>
    <row r="19" spans="3:27" x14ac:dyDescent="0.3">
      <c r="C19" s="25" t="s">
        <v>120</v>
      </c>
      <c r="D19" s="1" t="s">
        <v>105</v>
      </c>
      <c r="E19" s="1" t="s">
        <v>49</v>
      </c>
      <c r="F19" s="15">
        <v>421.99212328767129</v>
      </c>
      <c r="G19" s="15">
        <v>113.21164383561643</v>
      </c>
      <c r="H19" s="15" t="s">
        <v>121</v>
      </c>
      <c r="I19" s="15">
        <v>31.419520547945208</v>
      </c>
      <c r="J19" s="15">
        <v>0.50924657534246576</v>
      </c>
      <c r="K19" s="15">
        <v>10.568150684931508</v>
      </c>
      <c r="L19" s="15" t="s">
        <v>122</v>
      </c>
      <c r="M19" s="15">
        <v>5.9702054794520549</v>
      </c>
      <c r="N19" s="15">
        <v>1204.2277397260273</v>
      </c>
      <c r="O19" s="15">
        <v>5.2226027397260273</v>
      </c>
      <c r="P19" s="15">
        <v>56.635958904109593</v>
      </c>
      <c r="Q19" s="15">
        <v>2.6568493150684933</v>
      </c>
      <c r="R19" s="15">
        <v>68.00308219178082</v>
      </c>
      <c r="S19" s="15">
        <v>1.3106164383561645</v>
      </c>
      <c r="T19" s="15">
        <v>114.12739726027398</v>
      </c>
      <c r="U19" s="15">
        <v>127.41746575342466</v>
      </c>
      <c r="V19" s="15">
        <v>474.02534246575345</v>
      </c>
      <c r="W19" s="15">
        <v>1973.1297945205479</v>
      </c>
      <c r="X19" s="15">
        <v>1.2236301369863014</v>
      </c>
      <c r="Y19" s="15" t="s">
        <v>121</v>
      </c>
      <c r="Z19" s="15">
        <v>287.53664383561642</v>
      </c>
      <c r="AA19" s="15">
        <v>1088.1363013698631</v>
      </c>
    </row>
    <row r="20" spans="3:27" x14ac:dyDescent="0.3">
      <c r="C20" s="25" t="s">
        <v>120</v>
      </c>
      <c r="D20" s="1" t="s">
        <v>106</v>
      </c>
      <c r="E20" s="1" t="s">
        <v>50</v>
      </c>
      <c r="F20" s="15">
        <v>789.78045454545452</v>
      </c>
      <c r="G20" s="15" t="s">
        <v>121</v>
      </c>
      <c r="H20" s="15">
        <v>39.744090909090907</v>
      </c>
      <c r="I20" s="15">
        <v>82.250454545454531</v>
      </c>
      <c r="J20" s="15">
        <v>7.8581818181818175</v>
      </c>
      <c r="K20" s="15">
        <v>9.1031818181818185</v>
      </c>
      <c r="L20" s="15" t="s">
        <v>122</v>
      </c>
      <c r="M20" s="15">
        <v>9.2695454545454545</v>
      </c>
      <c r="N20" s="15">
        <v>7685.2249999999985</v>
      </c>
      <c r="O20" s="15">
        <v>3.3013636363636358</v>
      </c>
      <c r="P20" s="15" t="s">
        <v>121</v>
      </c>
      <c r="Q20" s="15">
        <v>9.1827272727272735</v>
      </c>
      <c r="R20" s="15">
        <v>90.186818181818168</v>
      </c>
      <c r="S20" s="15">
        <v>0.63681818181818173</v>
      </c>
      <c r="T20" s="15">
        <v>266.81409090909091</v>
      </c>
      <c r="U20" s="15">
        <v>175.71863636363636</v>
      </c>
      <c r="V20" s="15">
        <v>116.50681818181818</v>
      </c>
      <c r="W20" s="15">
        <v>1126.1195454545455</v>
      </c>
      <c r="X20" s="15" t="s">
        <v>121</v>
      </c>
      <c r="Y20" s="15">
        <v>0.47636363636363632</v>
      </c>
      <c r="Z20" s="15">
        <v>1280.8213636363635</v>
      </c>
      <c r="AA20" s="15">
        <v>235.66954545454541</v>
      </c>
    </row>
    <row r="21" spans="3:27" x14ac:dyDescent="0.3">
      <c r="C21" s="1"/>
      <c r="D21" s="1" t="s">
        <v>107</v>
      </c>
      <c r="E21" s="1" t="s">
        <v>51</v>
      </c>
      <c r="F21" s="15">
        <v>163.65107692307691</v>
      </c>
      <c r="G21" s="15" t="s">
        <v>121</v>
      </c>
      <c r="H21" s="15" t="s">
        <v>121</v>
      </c>
      <c r="I21" s="15">
        <v>12.443692307692308</v>
      </c>
      <c r="J21" s="15">
        <v>9.421846153846154</v>
      </c>
      <c r="K21" s="15">
        <v>5.1824615384615385</v>
      </c>
      <c r="L21" s="15">
        <v>14.036</v>
      </c>
      <c r="M21" s="15">
        <v>5.0913846153846158</v>
      </c>
      <c r="N21" s="15">
        <v>1673.2215384615386</v>
      </c>
      <c r="O21" s="15">
        <v>1.2187692307692308</v>
      </c>
      <c r="P21" s="15" t="s">
        <v>121</v>
      </c>
      <c r="Q21" s="15">
        <v>1.9852307692307691</v>
      </c>
      <c r="R21" s="15">
        <v>22.739692307692305</v>
      </c>
      <c r="S21" s="15">
        <v>0.40584615384615386</v>
      </c>
      <c r="T21" s="15">
        <v>126.86676923076924</v>
      </c>
      <c r="U21" s="15">
        <v>50.503692307692305</v>
      </c>
      <c r="V21" s="15">
        <v>55.762153846153851</v>
      </c>
      <c r="W21" s="15">
        <v>135.93815384615385</v>
      </c>
      <c r="X21" s="15">
        <v>1.3489230769230771</v>
      </c>
      <c r="Y21" s="15" t="s">
        <v>121</v>
      </c>
      <c r="Z21" s="15">
        <v>295.89446153846154</v>
      </c>
      <c r="AA21" s="15">
        <v>1027.8584615384616</v>
      </c>
    </row>
    <row r="22" spans="3:27" x14ac:dyDescent="0.3">
      <c r="C22" s="1"/>
      <c r="D22" s="1" t="s">
        <v>108</v>
      </c>
      <c r="E22" s="1" t="s">
        <v>52</v>
      </c>
      <c r="F22" s="15">
        <v>1052.2799392097265</v>
      </c>
      <c r="G22" s="15">
        <v>48.82796352583587</v>
      </c>
      <c r="H22" s="15" t="s">
        <v>121</v>
      </c>
      <c r="I22" s="15">
        <v>37.499088145896657</v>
      </c>
      <c r="J22" s="15">
        <v>1.5741641337386019</v>
      </c>
      <c r="K22" s="15">
        <v>10.112158054711246</v>
      </c>
      <c r="L22" s="15">
        <v>58.339209726443769</v>
      </c>
      <c r="M22" s="15">
        <v>58.622492401215801</v>
      </c>
      <c r="N22" s="15">
        <v>5221.2072948328268</v>
      </c>
      <c r="O22" s="15">
        <v>6.7130699088145889</v>
      </c>
      <c r="P22" s="15" t="s">
        <v>121</v>
      </c>
      <c r="Q22" s="15">
        <v>2.912158054711246</v>
      </c>
      <c r="R22" s="15">
        <v>49.686322188449843</v>
      </c>
      <c r="S22" s="15">
        <v>0.38844984802431609</v>
      </c>
      <c r="T22" s="15">
        <v>42.687234042553193</v>
      </c>
      <c r="U22" s="15">
        <v>6268.4890577507604</v>
      </c>
      <c r="V22" s="15">
        <v>51.893009118541038</v>
      </c>
      <c r="W22" s="15">
        <v>152.12097264437691</v>
      </c>
      <c r="X22" s="15">
        <v>1.3623100303951368</v>
      </c>
      <c r="Y22" s="15" t="s">
        <v>121</v>
      </c>
      <c r="Z22" s="15">
        <v>88.099696048632225</v>
      </c>
      <c r="AA22" s="15">
        <v>1346.6462006079028</v>
      </c>
    </row>
    <row r="23" spans="3:27" x14ac:dyDescent="0.3">
      <c r="C23" s="1"/>
      <c r="D23" s="1" t="s">
        <v>109</v>
      </c>
      <c r="E23" s="1" t="s">
        <v>53</v>
      </c>
      <c r="F23" s="15">
        <v>147.57357142857146</v>
      </c>
      <c r="G23" s="15" t="s">
        <v>121</v>
      </c>
      <c r="H23" s="15" t="s">
        <v>121</v>
      </c>
      <c r="I23" s="15">
        <v>50.674642857142864</v>
      </c>
      <c r="J23" s="15">
        <v>1.5689285714285715</v>
      </c>
      <c r="K23" s="15">
        <v>4.9996428571428577</v>
      </c>
      <c r="L23" s="15">
        <v>77.982500000000002</v>
      </c>
      <c r="M23" s="15">
        <v>5.2671428571428569</v>
      </c>
      <c r="N23" s="15">
        <v>6679.7942857142862</v>
      </c>
      <c r="O23" s="15" t="s">
        <v>121</v>
      </c>
      <c r="P23" s="15" t="s">
        <v>121</v>
      </c>
      <c r="Q23" s="15">
        <v>2.5628571428571432</v>
      </c>
      <c r="R23" s="15">
        <v>2.4125000000000001</v>
      </c>
      <c r="S23" s="15">
        <v>0.54357142857142859</v>
      </c>
      <c r="T23" s="15">
        <v>1.6414285714285715</v>
      </c>
      <c r="U23" s="15">
        <v>386.46428571428572</v>
      </c>
      <c r="V23" s="15">
        <v>101.69714285714286</v>
      </c>
      <c r="W23" s="15">
        <v>30.236428571428576</v>
      </c>
      <c r="X23" s="15">
        <v>16.551785714285714</v>
      </c>
      <c r="Y23" s="15" t="s">
        <v>121</v>
      </c>
      <c r="Z23" s="15">
        <v>44.328571428571436</v>
      </c>
      <c r="AA23" s="15">
        <v>501.14357142857148</v>
      </c>
    </row>
    <row r="24" spans="3:27" x14ac:dyDescent="0.3">
      <c r="C24" s="25" t="s">
        <v>120</v>
      </c>
      <c r="D24" s="1" t="s">
        <v>110</v>
      </c>
      <c r="E24" s="1" t="s">
        <v>54</v>
      </c>
      <c r="F24" s="15">
        <v>1426.1566455696202</v>
      </c>
      <c r="G24" s="15" t="s">
        <v>121</v>
      </c>
      <c r="H24" s="15" t="s">
        <v>121</v>
      </c>
      <c r="I24" s="15">
        <v>24.905063291139239</v>
      </c>
      <c r="J24" s="15">
        <v>2.4110759493670884</v>
      </c>
      <c r="K24" s="15">
        <v>3.7443037974683544</v>
      </c>
      <c r="L24" s="15" t="s">
        <v>122</v>
      </c>
      <c r="M24" s="15">
        <v>2.6848101265822786</v>
      </c>
      <c r="N24" s="15">
        <v>5841.0354430379739</v>
      </c>
      <c r="O24" s="15">
        <v>43.058227848101261</v>
      </c>
      <c r="P24" s="15" t="s">
        <v>121</v>
      </c>
      <c r="Q24" s="15">
        <v>4.0189873417721511</v>
      </c>
      <c r="R24" s="15">
        <v>28.721835443037971</v>
      </c>
      <c r="S24" s="15">
        <v>0.66867088607594938</v>
      </c>
      <c r="T24" s="15">
        <v>68.946518987341776</v>
      </c>
      <c r="U24" s="15">
        <v>463.93006329113922</v>
      </c>
      <c r="V24" s="15">
        <v>81.422784810126572</v>
      </c>
      <c r="W24" s="15">
        <v>169.65506329113924</v>
      </c>
      <c r="X24" s="15">
        <v>1.3642405063291139</v>
      </c>
      <c r="Y24" s="15">
        <v>0.21613924050632913</v>
      </c>
      <c r="Z24" s="15">
        <v>631.31582278481017</v>
      </c>
      <c r="AA24" s="15">
        <v>415.7164556962025</v>
      </c>
    </row>
    <row r="25" spans="3:27" x14ac:dyDescent="0.3">
      <c r="C25" s="1"/>
      <c r="D25" s="1" t="s">
        <v>111</v>
      </c>
      <c r="E25" s="1" t="s">
        <v>55</v>
      </c>
      <c r="F25" s="15">
        <v>1778.1282312925171</v>
      </c>
      <c r="G25" s="15">
        <v>22.816326530612244</v>
      </c>
      <c r="H25" s="15">
        <v>9.7081632653061227</v>
      </c>
      <c r="I25" s="15">
        <v>26.539455782312924</v>
      </c>
      <c r="J25" s="15">
        <v>2.3227891156462586</v>
      </c>
      <c r="K25" s="15">
        <v>3.2391156462585036</v>
      </c>
      <c r="L25" s="15">
        <v>62.325170068027205</v>
      </c>
      <c r="M25" s="15">
        <v>40.16700680272109</v>
      </c>
      <c r="N25" s="15">
        <v>2235.4244897959184</v>
      </c>
      <c r="O25" s="15">
        <v>9.1714285714285708</v>
      </c>
      <c r="P25" s="15" t="s">
        <v>121</v>
      </c>
      <c r="Q25" s="15">
        <v>5.3544217687074838</v>
      </c>
      <c r="R25" s="15">
        <v>5.1248299319727897</v>
      </c>
      <c r="S25" s="15" t="s">
        <v>121</v>
      </c>
      <c r="T25" s="15">
        <v>27.372448979591834</v>
      </c>
      <c r="U25" s="15">
        <v>299.66326530612247</v>
      </c>
      <c r="V25" s="15">
        <v>75.618027210884364</v>
      </c>
      <c r="W25" s="15">
        <v>65.202380952380949</v>
      </c>
      <c r="X25" s="15">
        <v>2.6428571428571428</v>
      </c>
      <c r="Y25" s="15" t="s">
        <v>121</v>
      </c>
      <c r="Z25" s="15">
        <v>731.11224489795916</v>
      </c>
      <c r="AA25" s="15">
        <v>179.27823129251701</v>
      </c>
    </row>
    <row r="26" spans="3:27" x14ac:dyDescent="0.3">
      <c r="C26" s="1"/>
      <c r="D26" s="1" t="s">
        <v>112</v>
      </c>
      <c r="E26" s="1" t="s">
        <v>56</v>
      </c>
      <c r="F26" s="15">
        <v>1124.1525597269624</v>
      </c>
      <c r="G26" s="15">
        <v>17.435494880546074</v>
      </c>
      <c r="H26" s="15" t="s">
        <v>121</v>
      </c>
      <c r="I26" s="15">
        <v>35.076450511945389</v>
      </c>
      <c r="J26" s="15">
        <v>2.0569965870307167</v>
      </c>
      <c r="K26" s="15">
        <v>3.054948805460751</v>
      </c>
      <c r="L26" s="15">
        <v>73.985665529010234</v>
      </c>
      <c r="M26" s="15">
        <v>3.2307167235494876</v>
      </c>
      <c r="N26" s="15">
        <v>5438.5750853242316</v>
      </c>
      <c r="O26" s="15">
        <v>20.014334470989763</v>
      </c>
      <c r="P26" s="15" t="s">
        <v>121</v>
      </c>
      <c r="Q26" s="15">
        <v>3.3542662116040951</v>
      </c>
      <c r="R26" s="15">
        <v>104.72423208191125</v>
      </c>
      <c r="S26" s="15">
        <v>0.5921501706484642</v>
      </c>
      <c r="T26" s="15">
        <v>141.84163822525596</v>
      </c>
      <c r="U26" s="15">
        <v>517.83993174061425</v>
      </c>
      <c r="V26" s="15">
        <v>84.95836177474402</v>
      </c>
      <c r="W26" s="15">
        <v>106.44914675767917</v>
      </c>
      <c r="X26" s="15">
        <v>1.3709897610921502</v>
      </c>
      <c r="Y26" s="15" t="s">
        <v>121</v>
      </c>
      <c r="Z26" s="15">
        <v>851.66996587030712</v>
      </c>
      <c r="AA26" s="15">
        <v>120.6457337883959</v>
      </c>
    </row>
    <row r="27" spans="3:27" x14ac:dyDescent="0.3">
      <c r="C27" s="1"/>
      <c r="D27" s="1" t="s">
        <v>113</v>
      </c>
      <c r="E27" s="1" t="s">
        <v>57</v>
      </c>
      <c r="F27" s="15">
        <v>287.69394904458596</v>
      </c>
      <c r="G27" s="15">
        <v>17.464968152866241</v>
      </c>
      <c r="H27" s="15">
        <v>5.8445859872611461</v>
      </c>
      <c r="I27" s="15">
        <v>157.47261146496814</v>
      </c>
      <c r="J27" s="15">
        <v>0.88726114649681531</v>
      </c>
      <c r="K27" s="15">
        <v>5.4318471337579615</v>
      </c>
      <c r="L27" s="15">
        <v>32.192038216560505</v>
      </c>
      <c r="M27" s="15">
        <v>5.9652866242038218</v>
      </c>
      <c r="N27" s="15">
        <v>4635.5563694267521</v>
      </c>
      <c r="O27" s="15">
        <v>2.6939490445859868</v>
      </c>
      <c r="P27" s="15" t="s">
        <v>121</v>
      </c>
      <c r="Q27" s="15">
        <v>9.7579617834394909</v>
      </c>
      <c r="R27" s="15">
        <v>36.87133757961783</v>
      </c>
      <c r="S27" s="15">
        <v>0.53566878980891719</v>
      </c>
      <c r="T27" s="15">
        <v>57.131210191082801</v>
      </c>
      <c r="U27" s="15">
        <v>396.73089171974516</v>
      </c>
      <c r="V27" s="15">
        <v>119.35987261146497</v>
      </c>
      <c r="W27" s="15">
        <v>381.39872611464972</v>
      </c>
      <c r="X27" s="15">
        <v>1.8815286624203822</v>
      </c>
      <c r="Y27" s="15" t="s">
        <v>121</v>
      </c>
      <c r="Z27" s="15">
        <v>372.53057324840768</v>
      </c>
      <c r="AA27" s="15">
        <v>1985.7777070063692</v>
      </c>
    </row>
    <row r="28" spans="3:27" x14ac:dyDescent="0.3">
      <c r="C28" s="1"/>
      <c r="D28" s="1" t="s">
        <v>114</v>
      </c>
      <c r="E28" s="1" t="s">
        <v>58</v>
      </c>
      <c r="F28" s="15">
        <v>461.58742138364778</v>
      </c>
      <c r="G28" s="15">
        <v>15.228616352201257</v>
      </c>
      <c r="H28" s="15" t="s">
        <v>121</v>
      </c>
      <c r="I28" s="15">
        <v>38.948427672955972</v>
      </c>
      <c r="J28" s="15">
        <v>2.5459119496855345</v>
      </c>
      <c r="K28" s="15">
        <v>9.0333333333333332</v>
      </c>
      <c r="L28" s="15">
        <v>56.415408805031447</v>
      </c>
      <c r="M28" s="15">
        <v>8.8157232704402499</v>
      </c>
      <c r="N28" s="15">
        <v>7654.2009433962257</v>
      </c>
      <c r="O28" s="15">
        <v>1.7553459119496855</v>
      </c>
      <c r="P28" s="15" t="s">
        <v>121</v>
      </c>
      <c r="Q28" s="15">
        <v>3.435220125786163</v>
      </c>
      <c r="R28" s="15">
        <v>37.72389937106918</v>
      </c>
      <c r="S28" s="15">
        <v>1.2179245283018869</v>
      </c>
      <c r="T28" s="15">
        <v>65.124528301886784</v>
      </c>
      <c r="U28" s="15">
        <v>499.62044025157229</v>
      </c>
      <c r="V28" s="15">
        <v>109.18270440251572</v>
      </c>
      <c r="W28" s="15">
        <v>234.95408805031445</v>
      </c>
      <c r="X28" s="15" t="s">
        <v>121</v>
      </c>
      <c r="Y28" s="15" t="s">
        <v>121</v>
      </c>
      <c r="Z28" s="15">
        <v>336.56132075471697</v>
      </c>
      <c r="AA28" s="15">
        <v>1499.1210691823899</v>
      </c>
    </row>
    <row r="29" spans="3:27" x14ac:dyDescent="0.3">
      <c r="C29" s="1"/>
      <c r="D29" s="1" t="s">
        <v>115</v>
      </c>
      <c r="E29" s="1" t="s">
        <v>59</v>
      </c>
      <c r="F29" s="15">
        <v>582.56482084690549</v>
      </c>
      <c r="G29" s="15">
        <v>31.401954397394139</v>
      </c>
      <c r="H29" s="15" t="s">
        <v>121</v>
      </c>
      <c r="I29" s="15">
        <v>47.669055374592837</v>
      </c>
      <c r="J29" s="15">
        <v>1.9752442996742672</v>
      </c>
      <c r="K29" s="15">
        <v>5.5104234527687304</v>
      </c>
      <c r="L29" s="15">
        <v>55.512377850162871</v>
      </c>
      <c r="M29" s="15">
        <v>4.6638436482084691</v>
      </c>
      <c r="N29" s="15">
        <v>4999.6006514657984</v>
      </c>
      <c r="O29" s="15">
        <v>3.402931596091205</v>
      </c>
      <c r="P29" s="15" t="s">
        <v>121</v>
      </c>
      <c r="Q29" s="15">
        <v>4.3211726384364821</v>
      </c>
      <c r="R29" s="15">
        <v>13.137133550488601</v>
      </c>
      <c r="S29" s="15">
        <v>0.38436482084690554</v>
      </c>
      <c r="T29" s="15">
        <v>49.136482084690556</v>
      </c>
      <c r="U29" s="15">
        <v>711.07133550488606</v>
      </c>
      <c r="V29" s="15">
        <v>159.80912052117264</v>
      </c>
      <c r="W29" s="15">
        <v>1736.1618892508143</v>
      </c>
      <c r="X29" s="15">
        <v>2.35928338762215</v>
      </c>
      <c r="Y29" s="15" t="s">
        <v>121</v>
      </c>
      <c r="Z29" s="15">
        <v>1099.4856677524431</v>
      </c>
      <c r="AA29" s="15">
        <v>556.92736156351793</v>
      </c>
    </row>
    <row r="30" spans="3:27" x14ac:dyDescent="0.3">
      <c r="C30" s="1"/>
      <c r="D30" s="1" t="s">
        <v>116</v>
      </c>
      <c r="E30" s="1" t="s">
        <v>60</v>
      </c>
      <c r="F30" s="15">
        <v>486.33291925465835</v>
      </c>
      <c r="G30" s="15">
        <v>32.081055900621116</v>
      </c>
      <c r="H30" s="15" t="s">
        <v>121</v>
      </c>
      <c r="I30" s="15">
        <v>91.959937888198752</v>
      </c>
      <c r="J30" s="15">
        <v>0.9652173913043478</v>
      </c>
      <c r="K30" s="15">
        <v>10.818944099378882</v>
      </c>
      <c r="L30" s="15">
        <v>33.034472049689434</v>
      </c>
      <c r="M30" s="15">
        <v>6.1773291925465825</v>
      </c>
      <c r="N30" s="15">
        <v>8315.343788819875</v>
      </c>
      <c r="O30" s="15">
        <v>16.415527950310558</v>
      </c>
      <c r="P30" s="15" t="s">
        <v>121</v>
      </c>
      <c r="Q30" s="15">
        <v>6.8385093167701854</v>
      </c>
      <c r="R30" s="15">
        <v>50.159627329192546</v>
      </c>
      <c r="S30" s="15" t="s">
        <v>121</v>
      </c>
      <c r="T30" s="15">
        <v>70.80559006211179</v>
      </c>
      <c r="U30" s="15">
        <v>461.90434782608696</v>
      </c>
      <c r="V30" s="15">
        <v>64.344099378881978</v>
      </c>
      <c r="W30" s="15">
        <v>1010.0347826086955</v>
      </c>
      <c r="X30" s="15">
        <v>0.91832298136645951</v>
      </c>
      <c r="Y30" s="15" t="s">
        <v>121</v>
      </c>
      <c r="Z30" s="15">
        <v>576.37391304347818</v>
      </c>
      <c r="AA30" s="15">
        <v>777.89751552795019</v>
      </c>
    </row>
    <row r="31" spans="3:27" x14ac:dyDescent="0.3">
      <c r="C31" s="1"/>
      <c r="D31" s="1" t="s">
        <v>117</v>
      </c>
      <c r="E31" s="1" t="s">
        <v>61</v>
      </c>
      <c r="F31" s="15">
        <v>652.15442176870749</v>
      </c>
      <c r="G31" s="15">
        <v>60.764285714285712</v>
      </c>
      <c r="H31" s="15" t="s">
        <v>121</v>
      </c>
      <c r="I31" s="15">
        <v>11.348299319727891</v>
      </c>
      <c r="J31" s="15">
        <v>2.9799319727891156</v>
      </c>
      <c r="K31" s="15">
        <v>31.013265306122449</v>
      </c>
      <c r="L31" s="15">
        <v>122.32040816326531</v>
      </c>
      <c r="M31" s="15">
        <v>6.7408163265306129</v>
      </c>
      <c r="N31" s="15">
        <v>10097.343537414965</v>
      </c>
      <c r="O31" s="15">
        <v>19.921768707482993</v>
      </c>
      <c r="P31" s="15" t="s">
        <v>121</v>
      </c>
      <c r="Q31" s="15">
        <v>1.4761904761904763</v>
      </c>
      <c r="R31" s="15">
        <v>140.25136054421768</v>
      </c>
      <c r="S31" s="15">
        <v>0.36870748299319733</v>
      </c>
      <c r="T31" s="15">
        <v>60.568707482993197</v>
      </c>
      <c r="U31" s="15">
        <v>560.68911564625853</v>
      </c>
      <c r="V31" s="15">
        <v>58.759523809523806</v>
      </c>
      <c r="W31" s="15">
        <v>40.162925170068029</v>
      </c>
      <c r="X31" s="15">
        <v>0.6551020408163265</v>
      </c>
      <c r="Y31" s="15" t="s">
        <v>121</v>
      </c>
      <c r="Z31" s="15">
        <v>381.30986394557823</v>
      </c>
      <c r="AA31" s="15">
        <v>333.12585034013608</v>
      </c>
    </row>
    <row r="32" spans="3:27" x14ac:dyDescent="0.3">
      <c r="C32" s="1"/>
      <c r="D32" s="1" t="s">
        <v>118</v>
      </c>
      <c r="E32" s="1" t="s">
        <v>62</v>
      </c>
      <c r="F32" s="15">
        <v>985.73827586206903</v>
      </c>
      <c r="G32" s="15">
        <v>12.587931034482759</v>
      </c>
      <c r="H32" s="15">
        <v>5.0965517241379308</v>
      </c>
      <c r="I32" s="15">
        <v>65.436896551724132</v>
      </c>
      <c r="J32" s="15">
        <v>2.1786206896551725</v>
      </c>
      <c r="K32" s="15">
        <v>3.1389655172413793</v>
      </c>
      <c r="L32" s="15">
        <v>43.246206896551726</v>
      </c>
      <c r="M32" s="15">
        <v>45.863793103448273</v>
      </c>
      <c r="N32" s="15">
        <v>4124.7427586206904</v>
      </c>
      <c r="O32" s="15">
        <v>1.8044827586206895</v>
      </c>
      <c r="P32" s="15" t="s">
        <v>121</v>
      </c>
      <c r="Q32" s="15">
        <v>1.5486206896551724</v>
      </c>
      <c r="R32" s="15">
        <v>5.9462068965517245</v>
      </c>
      <c r="S32" s="15" t="s">
        <v>121</v>
      </c>
      <c r="T32" s="15">
        <v>28.755862068965516</v>
      </c>
      <c r="U32" s="15">
        <v>340.91758620689654</v>
      </c>
      <c r="V32" s="15">
        <v>193.40206896551723</v>
      </c>
      <c r="W32" s="15">
        <v>113.77</v>
      </c>
      <c r="X32" s="15">
        <v>3.6951724137931032</v>
      </c>
      <c r="Y32" s="15" t="s">
        <v>121</v>
      </c>
      <c r="Z32" s="15">
        <v>186.56793103448277</v>
      </c>
      <c r="AA32" s="15">
        <v>276.40310344827583</v>
      </c>
    </row>
    <row r="33" spans="3:27" x14ac:dyDescent="0.3">
      <c r="C33" s="1"/>
      <c r="D33" s="1" t="s">
        <v>119</v>
      </c>
      <c r="E33" s="1" t="s">
        <v>63</v>
      </c>
      <c r="F33" s="15">
        <v>706.70424836601296</v>
      </c>
      <c r="G33" s="15">
        <v>37.553267973856208</v>
      </c>
      <c r="H33" s="15">
        <v>3.1186274509803917</v>
      </c>
      <c r="I33" s="15">
        <v>37.409803921568631</v>
      </c>
      <c r="J33" s="15">
        <v>3.0921568627450977</v>
      </c>
      <c r="K33" s="15">
        <v>11.57549019607843</v>
      </c>
      <c r="L33" s="15">
        <v>33.200653594771239</v>
      </c>
      <c r="M33" s="15">
        <v>27.56797385620915</v>
      </c>
      <c r="N33" s="15">
        <v>6689.665032679738</v>
      </c>
      <c r="O33" s="15">
        <v>12.422222222222222</v>
      </c>
      <c r="P33" s="15" t="s">
        <v>121</v>
      </c>
      <c r="Q33" s="15">
        <v>4.0352941176470587</v>
      </c>
      <c r="R33" s="15">
        <v>75.616013071895424</v>
      </c>
      <c r="S33" s="15">
        <v>3.8660130718954249</v>
      </c>
      <c r="T33" s="15">
        <v>81.416993464052283</v>
      </c>
      <c r="U33" s="15">
        <v>261.68235294117648</v>
      </c>
      <c r="V33" s="15">
        <v>66.054575163398695</v>
      </c>
      <c r="W33" s="15">
        <v>1186.4506535947712</v>
      </c>
      <c r="X33" s="15" t="s">
        <v>121</v>
      </c>
      <c r="Y33" s="15" t="s">
        <v>121</v>
      </c>
      <c r="Z33" s="15">
        <v>482.32418300653597</v>
      </c>
      <c r="AA33" s="15">
        <v>2017.3980392156864</v>
      </c>
    </row>
  </sheetData>
  <mergeCells count="1">
    <mergeCell ref="F1:AA1"/>
  </mergeCells>
  <conditionalFormatting sqref="D2:Z33">
    <cfRule type="containsText" dxfId="1" priority="1" operator="containsText" text="&gt;">
      <formula>NOT(ISERROR(SEARCH("&gt;",D2)))</formula>
    </cfRule>
    <cfRule type="containsText" dxfId="0" priority="2" operator="containsText" text="&lt;">
      <formula>NOT(ISERROR(SEARCH("&lt;",D2)))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5386-72DD-42A8-B6B3-49EF8C32A9BA}">
  <sheetPr codeName="Feuil7">
    <tabColor rgb="FF008000"/>
  </sheetPr>
  <dimension ref="A2:Q51"/>
  <sheetViews>
    <sheetView zoomScale="80" zoomScaleNormal="80" workbookViewId="0">
      <selection activeCell="L31" sqref="L31"/>
    </sheetView>
  </sheetViews>
  <sheetFormatPr baseColWidth="10" defaultColWidth="11.44140625" defaultRowHeight="14.4" x14ac:dyDescent="0.3"/>
  <cols>
    <col min="1" max="1" width="11.44140625" style="7"/>
    <col min="2" max="2" width="28.44140625" style="7" customWidth="1"/>
    <col min="3" max="4" width="19.33203125" style="7" customWidth="1"/>
    <col min="5" max="5" width="9.109375" style="7"/>
    <col min="6" max="6" width="19.33203125" style="7" customWidth="1"/>
    <col min="7" max="7" width="9.109375" style="7"/>
    <col min="8" max="9" width="19.33203125" style="7" customWidth="1"/>
    <col min="10" max="10" width="9.109375" style="7"/>
    <col min="11" max="11" width="19.33203125" style="7" customWidth="1"/>
    <col min="12" max="12" width="9.109375" style="7"/>
    <col min="13" max="14" width="19.33203125" style="7" customWidth="1"/>
    <col min="15" max="15" width="9.109375" style="7"/>
    <col min="16" max="16" width="19.33203125" style="7" customWidth="1"/>
    <col min="17" max="17" width="9.109375" style="7"/>
    <col min="18" max="16384" width="11.44140625" style="7"/>
  </cols>
  <sheetData>
    <row r="2" spans="1:17" ht="15" thickBot="1" x14ac:dyDescent="0.35"/>
    <row r="3" spans="1:17" ht="15" thickTop="1" x14ac:dyDescent="0.3">
      <c r="C3" s="28" t="s">
        <v>2</v>
      </c>
      <c r="D3" s="29"/>
      <c r="E3" s="29"/>
      <c r="F3" s="29"/>
      <c r="G3" s="31"/>
      <c r="H3" s="28" t="s">
        <v>3</v>
      </c>
      <c r="I3" s="29"/>
      <c r="J3" s="29"/>
      <c r="K3" s="29"/>
      <c r="L3" s="31"/>
      <c r="M3" s="28" t="s">
        <v>4</v>
      </c>
      <c r="N3" s="29"/>
      <c r="O3" s="29"/>
      <c r="P3" s="29"/>
      <c r="Q3" s="30"/>
    </row>
    <row r="4" spans="1:17" x14ac:dyDescent="0.3">
      <c r="C4" s="32" t="s">
        <v>5</v>
      </c>
      <c r="D4" s="26" t="s">
        <v>6</v>
      </c>
      <c r="E4" s="26"/>
      <c r="F4" s="26" t="s">
        <v>7</v>
      </c>
      <c r="G4" s="33"/>
      <c r="H4" s="32" t="s">
        <v>5</v>
      </c>
      <c r="I4" s="26" t="s">
        <v>6</v>
      </c>
      <c r="J4" s="26"/>
      <c r="K4" s="26" t="s">
        <v>7</v>
      </c>
      <c r="L4" s="33"/>
      <c r="M4" s="32" t="s">
        <v>5</v>
      </c>
      <c r="N4" s="26" t="s">
        <v>6</v>
      </c>
      <c r="O4" s="26"/>
      <c r="P4" s="26" t="s">
        <v>7</v>
      </c>
      <c r="Q4" s="27"/>
    </row>
    <row r="5" spans="1:17" ht="28.8" x14ac:dyDescent="0.3">
      <c r="C5" s="36"/>
      <c r="D5" s="9" t="s">
        <v>8</v>
      </c>
      <c r="E5" s="10" t="s">
        <v>9</v>
      </c>
      <c r="F5" s="9" t="s">
        <v>8</v>
      </c>
      <c r="G5" s="12" t="s">
        <v>9</v>
      </c>
      <c r="H5" s="36"/>
      <c r="I5" s="9" t="s">
        <v>8</v>
      </c>
      <c r="J5" s="10" t="s">
        <v>9</v>
      </c>
      <c r="K5" s="9" t="s">
        <v>8</v>
      </c>
      <c r="L5" s="12" t="s">
        <v>9</v>
      </c>
      <c r="M5" s="36"/>
      <c r="N5" s="9" t="s">
        <v>8</v>
      </c>
      <c r="O5" s="10" t="s">
        <v>9</v>
      </c>
      <c r="P5" s="9" t="s">
        <v>8</v>
      </c>
      <c r="Q5" s="11" t="s">
        <v>9</v>
      </c>
    </row>
    <row r="6" spans="1:17" x14ac:dyDescent="0.3">
      <c r="A6" s="26" t="s">
        <v>0</v>
      </c>
      <c r="B6" s="14" t="s">
        <v>65</v>
      </c>
      <c r="C6" s="16">
        <v>500</v>
      </c>
      <c r="D6" s="17">
        <v>528.15599999999995</v>
      </c>
      <c r="E6" s="17">
        <v>5.6</v>
      </c>
      <c r="F6" s="17">
        <v>509.101</v>
      </c>
      <c r="G6" s="18">
        <v>1.8</v>
      </c>
      <c r="H6" s="16">
        <v>5000</v>
      </c>
      <c r="I6" s="17">
        <v>5399.8320000000003</v>
      </c>
      <c r="J6" s="17">
        <v>8</v>
      </c>
      <c r="K6" s="17">
        <v>5270.7120000000004</v>
      </c>
      <c r="L6" s="18">
        <v>5.4</v>
      </c>
      <c r="M6" s="16">
        <v>10000</v>
      </c>
      <c r="N6" s="17">
        <v>9918.9639999999999</v>
      </c>
      <c r="O6" s="17">
        <v>-0.8</v>
      </c>
      <c r="P6" s="17">
        <v>10115.959000000001</v>
      </c>
      <c r="Q6" s="19">
        <v>1.2</v>
      </c>
    </row>
    <row r="7" spans="1:17" x14ac:dyDescent="0.3">
      <c r="A7" s="26"/>
      <c r="B7" s="14" t="s">
        <v>66</v>
      </c>
      <c r="C7" s="16">
        <v>200</v>
      </c>
      <c r="D7" s="17">
        <v>217.64599999999999</v>
      </c>
      <c r="E7" s="17">
        <v>8.8000000000000007</v>
      </c>
      <c r="F7" s="17">
        <v>207.82599999999999</v>
      </c>
      <c r="G7" s="18">
        <v>3.9</v>
      </c>
      <c r="H7" s="16">
        <v>2000</v>
      </c>
      <c r="I7" s="17">
        <v>2094.1439999999998</v>
      </c>
      <c r="J7" s="17">
        <v>4.7</v>
      </c>
      <c r="K7" s="17">
        <v>1937.6310000000001</v>
      </c>
      <c r="L7" s="18">
        <v>-3.1</v>
      </c>
      <c r="M7" s="16">
        <v>4000</v>
      </c>
      <c r="N7" s="17">
        <v>4112.1059999999998</v>
      </c>
      <c r="O7" s="17">
        <v>2.8</v>
      </c>
      <c r="P7" s="17">
        <v>4395.5039999999999</v>
      </c>
      <c r="Q7" s="19">
        <v>9.9</v>
      </c>
    </row>
    <row r="8" spans="1:17" x14ac:dyDescent="0.3">
      <c r="A8" s="26"/>
      <c r="B8" s="14" t="s">
        <v>67</v>
      </c>
      <c r="C8" s="16">
        <v>20</v>
      </c>
      <c r="D8" s="17">
        <v>18.042999999999999</v>
      </c>
      <c r="E8" s="17">
        <v>-9.8000000000000007</v>
      </c>
      <c r="F8" s="17">
        <v>20.219000000000001</v>
      </c>
      <c r="G8" s="18">
        <v>1.1000000000000001</v>
      </c>
      <c r="H8" s="16">
        <v>200</v>
      </c>
      <c r="I8" s="17">
        <v>206.97499999999999</v>
      </c>
      <c r="J8" s="17">
        <v>3.5</v>
      </c>
      <c r="K8" s="17">
        <v>211.41399999999999</v>
      </c>
      <c r="L8" s="18">
        <v>5.7</v>
      </c>
      <c r="M8" s="16">
        <v>400</v>
      </c>
      <c r="N8" s="17">
        <v>411.08499999999998</v>
      </c>
      <c r="O8" s="17">
        <v>2.8</v>
      </c>
      <c r="P8" s="17">
        <v>408.20499999999998</v>
      </c>
      <c r="Q8" s="19">
        <v>2.1</v>
      </c>
    </row>
    <row r="9" spans="1:17" x14ac:dyDescent="0.3">
      <c r="A9" s="26"/>
      <c r="B9" s="14" t="s">
        <v>68</v>
      </c>
      <c r="C9" s="16">
        <v>40</v>
      </c>
      <c r="D9" s="17">
        <v>43.825000000000003</v>
      </c>
      <c r="E9" s="17">
        <v>9.6</v>
      </c>
      <c r="F9" s="17">
        <v>44.604999999999997</v>
      </c>
      <c r="G9" s="18">
        <v>11.5</v>
      </c>
      <c r="H9" s="16">
        <v>400</v>
      </c>
      <c r="I9" s="17">
        <v>397.38200000000001</v>
      </c>
      <c r="J9" s="17">
        <v>-0.7</v>
      </c>
      <c r="K9" s="17">
        <v>413.49</v>
      </c>
      <c r="L9" s="18">
        <v>3.4</v>
      </c>
      <c r="M9" s="16">
        <v>800</v>
      </c>
      <c r="N9" s="17">
        <v>787.97400000000005</v>
      </c>
      <c r="O9" s="17">
        <v>-1.5</v>
      </c>
      <c r="P9" s="17">
        <v>805.01499999999999</v>
      </c>
      <c r="Q9" s="19">
        <v>0.6</v>
      </c>
    </row>
    <row r="10" spans="1:17" x14ac:dyDescent="0.3">
      <c r="A10" s="26"/>
      <c r="B10" s="14" t="s">
        <v>69</v>
      </c>
      <c r="C10" s="16">
        <v>8</v>
      </c>
      <c r="D10" s="17">
        <v>8.6639999999999997</v>
      </c>
      <c r="E10" s="17">
        <v>8.3000000000000007</v>
      </c>
      <c r="F10" s="17">
        <v>8.5869999999999997</v>
      </c>
      <c r="G10" s="18">
        <v>7.3</v>
      </c>
      <c r="H10" s="16">
        <v>80</v>
      </c>
      <c r="I10" s="17">
        <v>84.653000000000006</v>
      </c>
      <c r="J10" s="17">
        <v>5.8</v>
      </c>
      <c r="K10" s="17">
        <v>87.471000000000004</v>
      </c>
      <c r="L10" s="18">
        <v>9.3000000000000007</v>
      </c>
      <c r="M10" s="16">
        <v>160</v>
      </c>
      <c r="N10" s="17">
        <v>167.21600000000001</v>
      </c>
      <c r="O10" s="17">
        <v>4.5</v>
      </c>
      <c r="P10" s="17">
        <v>171.37700000000001</v>
      </c>
      <c r="Q10" s="19">
        <v>7.1</v>
      </c>
    </row>
    <row r="11" spans="1:17" x14ac:dyDescent="0.3">
      <c r="A11" s="26"/>
      <c r="B11" s="14" t="s">
        <v>70</v>
      </c>
      <c r="C11" s="16">
        <v>40</v>
      </c>
      <c r="D11" s="17">
        <v>39.457999999999998</v>
      </c>
      <c r="E11" s="17">
        <v>-1.4</v>
      </c>
      <c r="F11" s="17">
        <v>43.106000000000002</v>
      </c>
      <c r="G11" s="18">
        <v>7.8</v>
      </c>
      <c r="H11" s="16">
        <v>400</v>
      </c>
      <c r="I11" s="17">
        <v>401.30599999999998</v>
      </c>
      <c r="J11" s="17">
        <v>0.3</v>
      </c>
      <c r="K11" s="17">
        <v>432.34100000000001</v>
      </c>
      <c r="L11" s="18">
        <v>8.1</v>
      </c>
      <c r="M11" s="16">
        <v>800</v>
      </c>
      <c r="N11" s="17">
        <v>861.47400000000005</v>
      </c>
      <c r="O11" s="17">
        <v>7.7</v>
      </c>
      <c r="P11" s="17">
        <v>847.43</v>
      </c>
      <c r="Q11" s="19">
        <v>5.9</v>
      </c>
    </row>
    <row r="12" spans="1:17" x14ac:dyDescent="0.3">
      <c r="A12" s="26"/>
      <c r="B12" s="14" t="s">
        <v>71</v>
      </c>
      <c r="C12" s="16">
        <v>20</v>
      </c>
      <c r="D12" s="17">
        <v>18.969000000000001</v>
      </c>
      <c r="E12" s="17">
        <v>-5.2</v>
      </c>
      <c r="F12" s="17">
        <v>22.513999999999999</v>
      </c>
      <c r="G12" s="18">
        <v>12.6</v>
      </c>
      <c r="H12" s="16">
        <v>200</v>
      </c>
      <c r="I12" s="17">
        <v>197.73500000000001</v>
      </c>
      <c r="J12" s="17">
        <v>-1.1000000000000001</v>
      </c>
      <c r="K12" s="17">
        <v>202.27699999999999</v>
      </c>
      <c r="L12" s="18">
        <v>1.1000000000000001</v>
      </c>
      <c r="M12" s="16">
        <v>400</v>
      </c>
      <c r="N12" s="17">
        <v>389.17899999999997</v>
      </c>
      <c r="O12" s="17">
        <v>-2.7</v>
      </c>
      <c r="P12" s="17">
        <v>437.1</v>
      </c>
      <c r="Q12" s="19">
        <v>9.3000000000000007</v>
      </c>
    </row>
    <row r="13" spans="1:17" x14ac:dyDescent="0.3">
      <c r="A13" s="26"/>
      <c r="B13" s="14" t="s">
        <v>72</v>
      </c>
      <c r="C13" s="16">
        <v>200</v>
      </c>
      <c r="D13" s="17">
        <v>209.37100000000001</v>
      </c>
      <c r="E13" s="17">
        <v>4.7</v>
      </c>
      <c r="F13" s="17">
        <v>218.047</v>
      </c>
      <c r="G13" s="18">
        <v>9</v>
      </c>
      <c r="H13" s="16">
        <v>2000</v>
      </c>
      <c r="I13" s="17">
        <v>2257.547</v>
      </c>
      <c r="J13" s="17">
        <v>12.9</v>
      </c>
      <c r="K13" s="17">
        <v>2078.3989999999999</v>
      </c>
      <c r="L13" s="18">
        <v>3.9</v>
      </c>
      <c r="M13" s="16">
        <v>4000</v>
      </c>
      <c r="N13" s="17">
        <v>3962.3009999999999</v>
      </c>
      <c r="O13" s="17">
        <v>-0.9</v>
      </c>
      <c r="P13" s="17">
        <v>3926.3589999999999</v>
      </c>
      <c r="Q13" s="19">
        <v>-1.8</v>
      </c>
    </row>
    <row r="14" spans="1:17" x14ac:dyDescent="0.3">
      <c r="A14" s="26"/>
      <c r="B14" s="14" t="s">
        <v>73</v>
      </c>
      <c r="C14" s="16">
        <v>8000</v>
      </c>
      <c r="D14" s="17">
        <v>8381.6890000000003</v>
      </c>
      <c r="E14" s="17">
        <v>4.8</v>
      </c>
      <c r="F14" s="17">
        <v>8749.4079999999994</v>
      </c>
      <c r="G14" s="18">
        <v>9.4</v>
      </c>
      <c r="H14" s="16">
        <v>80000</v>
      </c>
      <c r="I14" s="17">
        <v>86815.762000000002</v>
      </c>
      <c r="J14" s="17">
        <v>8.5</v>
      </c>
      <c r="K14" s="17">
        <v>85881.207999999999</v>
      </c>
      <c r="L14" s="18">
        <v>7.4</v>
      </c>
      <c r="M14" s="16">
        <v>160000</v>
      </c>
      <c r="N14" s="17">
        <v>162752.774</v>
      </c>
      <c r="O14" s="17">
        <v>1.7</v>
      </c>
      <c r="P14" s="17">
        <v>172790.99100000001</v>
      </c>
      <c r="Q14" s="19">
        <v>8</v>
      </c>
    </row>
    <row r="15" spans="1:17" x14ac:dyDescent="0.3">
      <c r="A15" s="26"/>
      <c r="B15" s="14" t="s">
        <v>74</v>
      </c>
      <c r="C15" s="16">
        <v>40</v>
      </c>
      <c r="D15" s="17">
        <v>44.600999999999999</v>
      </c>
      <c r="E15" s="17">
        <v>11.5</v>
      </c>
      <c r="F15" s="17">
        <v>42.604999999999997</v>
      </c>
      <c r="G15" s="18">
        <v>6.5</v>
      </c>
      <c r="H15" s="16">
        <v>400</v>
      </c>
      <c r="I15" s="17">
        <v>359.28</v>
      </c>
      <c r="J15" s="17">
        <v>-10.199999999999999</v>
      </c>
      <c r="K15" s="17">
        <v>403.19600000000003</v>
      </c>
      <c r="L15" s="18">
        <v>0.8</v>
      </c>
      <c r="M15" s="16">
        <v>800</v>
      </c>
      <c r="N15" s="17">
        <v>812.49</v>
      </c>
      <c r="O15" s="17">
        <v>1.6</v>
      </c>
      <c r="P15" s="17">
        <v>791.8</v>
      </c>
      <c r="Q15" s="19">
        <v>-1</v>
      </c>
    </row>
    <row r="16" spans="1:17" x14ac:dyDescent="0.3">
      <c r="A16" s="26"/>
      <c r="B16" s="14" t="s">
        <v>75</v>
      </c>
      <c r="C16" s="16">
        <v>40</v>
      </c>
      <c r="D16" s="17">
        <v>40.658999999999999</v>
      </c>
      <c r="E16" s="17">
        <v>1.6</v>
      </c>
      <c r="F16" s="17">
        <v>42.316000000000003</v>
      </c>
      <c r="G16" s="18">
        <v>5.8</v>
      </c>
      <c r="H16" s="16">
        <v>400</v>
      </c>
      <c r="I16" s="17">
        <v>433.88</v>
      </c>
      <c r="J16" s="17">
        <v>8.5</v>
      </c>
      <c r="K16" s="17">
        <v>424.97399999999999</v>
      </c>
      <c r="L16" s="18">
        <v>6.2</v>
      </c>
      <c r="M16" s="16">
        <v>800</v>
      </c>
      <c r="N16" s="17">
        <v>797.76099999999997</v>
      </c>
      <c r="O16" s="17">
        <v>-0.3</v>
      </c>
      <c r="P16" s="17">
        <v>830.726</v>
      </c>
      <c r="Q16" s="19">
        <v>3.8</v>
      </c>
    </row>
    <row r="17" spans="1:17" x14ac:dyDescent="0.3">
      <c r="A17" s="26"/>
      <c r="B17" s="14" t="s">
        <v>76</v>
      </c>
      <c r="C17" s="16">
        <v>4</v>
      </c>
      <c r="D17" s="17">
        <v>3.9340000000000002</v>
      </c>
      <c r="E17" s="17">
        <v>-1.7</v>
      </c>
      <c r="F17" s="17">
        <v>4.3049999999999997</v>
      </c>
      <c r="G17" s="18">
        <v>7.6</v>
      </c>
      <c r="H17" s="16">
        <v>40</v>
      </c>
      <c r="I17" s="17">
        <v>42.12</v>
      </c>
      <c r="J17" s="17">
        <v>5.3</v>
      </c>
      <c r="K17" s="17">
        <v>42.488</v>
      </c>
      <c r="L17" s="18">
        <v>6.2</v>
      </c>
      <c r="M17" s="16">
        <v>80</v>
      </c>
      <c r="N17" s="17">
        <v>80.948999999999998</v>
      </c>
      <c r="O17" s="17">
        <v>1.2</v>
      </c>
      <c r="P17" s="17">
        <v>79.56</v>
      </c>
      <c r="Q17" s="19">
        <v>-0.6</v>
      </c>
    </row>
    <row r="18" spans="1:17" x14ac:dyDescent="0.3">
      <c r="A18" s="26"/>
      <c r="B18" s="14" t="s">
        <v>77</v>
      </c>
      <c r="C18" s="16">
        <v>40</v>
      </c>
      <c r="D18" s="17">
        <v>40.725999999999999</v>
      </c>
      <c r="E18" s="17">
        <v>1.8</v>
      </c>
      <c r="F18" s="17">
        <v>41.189</v>
      </c>
      <c r="G18" s="18">
        <v>3</v>
      </c>
      <c r="H18" s="16">
        <v>400</v>
      </c>
      <c r="I18" s="17">
        <v>397.41699999999997</v>
      </c>
      <c r="J18" s="17">
        <v>-0.6</v>
      </c>
      <c r="K18" s="17">
        <v>395.22300000000001</v>
      </c>
      <c r="L18" s="18">
        <v>-1.2</v>
      </c>
      <c r="M18" s="16">
        <v>800</v>
      </c>
      <c r="N18" s="17">
        <v>814.26700000000005</v>
      </c>
      <c r="O18" s="17">
        <v>1.8</v>
      </c>
      <c r="P18" s="17">
        <v>816.41300000000001</v>
      </c>
      <c r="Q18" s="19">
        <v>2.1</v>
      </c>
    </row>
    <row r="19" spans="1:17" x14ac:dyDescent="0.3">
      <c r="A19" s="26"/>
      <c r="B19" s="14" t="s">
        <v>78</v>
      </c>
      <c r="C19" s="16">
        <v>4</v>
      </c>
      <c r="D19" s="17">
        <v>4.07</v>
      </c>
      <c r="E19" s="17">
        <v>1.8</v>
      </c>
      <c r="F19" s="17">
        <v>4.0049999999999999</v>
      </c>
      <c r="G19" s="18">
        <v>0.1</v>
      </c>
      <c r="H19" s="16">
        <v>40</v>
      </c>
      <c r="I19" s="17">
        <v>41.055999999999997</v>
      </c>
      <c r="J19" s="17">
        <v>2.6</v>
      </c>
      <c r="K19" s="17">
        <v>42.191000000000003</v>
      </c>
      <c r="L19" s="18">
        <v>5.5</v>
      </c>
      <c r="M19" s="16">
        <v>80</v>
      </c>
      <c r="N19" s="17">
        <v>78.123000000000005</v>
      </c>
      <c r="O19" s="17">
        <v>-2.2999999999999998</v>
      </c>
      <c r="P19" s="17">
        <v>81.228999999999999</v>
      </c>
      <c r="Q19" s="19">
        <v>1.5</v>
      </c>
    </row>
    <row r="20" spans="1:17" x14ac:dyDescent="0.3">
      <c r="A20" s="26"/>
      <c r="B20" s="14" t="s">
        <v>79</v>
      </c>
      <c r="C20" s="16">
        <v>100</v>
      </c>
      <c r="D20" s="17">
        <v>104.864</v>
      </c>
      <c r="E20" s="17">
        <v>4.9000000000000004</v>
      </c>
      <c r="F20" s="17">
        <v>106.495</v>
      </c>
      <c r="G20" s="18">
        <v>6.5</v>
      </c>
      <c r="H20" s="16">
        <v>1000</v>
      </c>
      <c r="I20" s="17">
        <v>1025.3879999999999</v>
      </c>
      <c r="J20" s="17">
        <v>2.5</v>
      </c>
      <c r="K20" s="17">
        <v>1009.968</v>
      </c>
      <c r="L20" s="18">
        <v>1</v>
      </c>
      <c r="M20" s="16">
        <v>2000</v>
      </c>
      <c r="N20" s="17">
        <v>2054.6869999999999</v>
      </c>
      <c r="O20" s="17">
        <v>2.7</v>
      </c>
      <c r="P20" s="17">
        <v>2077.7310000000002</v>
      </c>
      <c r="Q20" s="19">
        <v>3.9</v>
      </c>
    </row>
    <row r="21" spans="1:17" x14ac:dyDescent="0.3">
      <c r="A21" s="26"/>
      <c r="B21" s="14" t="s">
        <v>80</v>
      </c>
      <c r="C21" s="16">
        <v>2000</v>
      </c>
      <c r="D21" s="17">
        <v>1916.6990000000001</v>
      </c>
      <c r="E21" s="17">
        <v>-4.2</v>
      </c>
      <c r="F21" s="17">
        <v>1843.662</v>
      </c>
      <c r="G21" s="18">
        <v>-7.8</v>
      </c>
      <c r="H21" s="16">
        <v>20000</v>
      </c>
      <c r="I21" s="17">
        <v>19127.400000000001</v>
      </c>
      <c r="J21" s="17">
        <v>-4.4000000000000004</v>
      </c>
      <c r="K21" s="17">
        <v>19838.491999999998</v>
      </c>
      <c r="L21" s="18">
        <v>-0.8</v>
      </c>
      <c r="M21" s="16">
        <v>40000</v>
      </c>
      <c r="N21" s="17">
        <v>42779.7</v>
      </c>
      <c r="O21" s="17">
        <v>6.9</v>
      </c>
      <c r="P21" s="17">
        <v>41753.01</v>
      </c>
      <c r="Q21" s="19">
        <v>4.4000000000000004</v>
      </c>
    </row>
    <row r="22" spans="1:17" x14ac:dyDescent="0.3">
      <c r="A22" s="26"/>
      <c r="B22" s="14" t="s">
        <v>81</v>
      </c>
      <c r="C22" s="16">
        <v>100</v>
      </c>
      <c r="D22" s="17">
        <v>107.893</v>
      </c>
      <c r="E22" s="17">
        <v>7.9</v>
      </c>
      <c r="F22" s="17">
        <v>105.986</v>
      </c>
      <c r="G22" s="18">
        <v>6</v>
      </c>
      <c r="H22" s="16">
        <v>1000</v>
      </c>
      <c r="I22" s="17">
        <v>1000.4589999999999</v>
      </c>
      <c r="J22" s="17">
        <v>0</v>
      </c>
      <c r="K22" s="17">
        <v>1060.412</v>
      </c>
      <c r="L22" s="18">
        <v>6</v>
      </c>
      <c r="M22" s="16">
        <v>2000</v>
      </c>
      <c r="N22" s="17">
        <v>1967.1590000000001</v>
      </c>
      <c r="O22" s="17">
        <v>-1.6</v>
      </c>
      <c r="P22" s="17">
        <v>2077.386</v>
      </c>
      <c r="Q22" s="19">
        <v>3.9</v>
      </c>
    </row>
    <row r="23" spans="1:17" x14ac:dyDescent="0.3">
      <c r="A23" s="26"/>
      <c r="B23" s="14" t="s">
        <v>82</v>
      </c>
      <c r="C23" s="16">
        <v>300</v>
      </c>
      <c r="D23" s="17">
        <v>330.82600000000002</v>
      </c>
      <c r="E23" s="17">
        <v>10.3</v>
      </c>
      <c r="F23" s="17">
        <v>303.90800000000002</v>
      </c>
      <c r="G23" s="18">
        <v>1.3</v>
      </c>
      <c r="H23" s="16">
        <v>3000</v>
      </c>
      <c r="I23" s="17">
        <v>3105.73</v>
      </c>
      <c r="J23" s="17">
        <v>3.5</v>
      </c>
      <c r="K23" s="17">
        <v>3272.3249999999998</v>
      </c>
      <c r="L23" s="18">
        <v>9.1</v>
      </c>
      <c r="M23" s="16">
        <v>6000</v>
      </c>
      <c r="N23" s="17">
        <v>5874.95</v>
      </c>
      <c r="O23" s="17">
        <v>-2.1</v>
      </c>
      <c r="P23" s="17">
        <v>6006.5959999999995</v>
      </c>
      <c r="Q23" s="19">
        <v>0.1</v>
      </c>
    </row>
    <row r="24" spans="1:17" x14ac:dyDescent="0.3">
      <c r="A24" s="26"/>
      <c r="B24" s="14" t="s">
        <v>83</v>
      </c>
      <c r="C24" s="16">
        <v>4</v>
      </c>
      <c r="D24" s="17">
        <v>4.38</v>
      </c>
      <c r="E24" s="17">
        <v>9.5</v>
      </c>
      <c r="F24" s="17">
        <v>3.5430000000000001</v>
      </c>
      <c r="G24" s="18">
        <v>-11.4</v>
      </c>
      <c r="H24" s="16">
        <v>40</v>
      </c>
      <c r="I24" s="17">
        <v>43.213999999999999</v>
      </c>
      <c r="J24" s="17">
        <v>8</v>
      </c>
      <c r="K24" s="17">
        <v>43.521999999999998</v>
      </c>
      <c r="L24" s="18">
        <v>8.8000000000000007</v>
      </c>
      <c r="M24" s="16">
        <v>80</v>
      </c>
      <c r="N24" s="17">
        <v>82.730999999999995</v>
      </c>
      <c r="O24" s="17">
        <v>3.4</v>
      </c>
      <c r="P24" s="17">
        <v>82.775999999999996</v>
      </c>
      <c r="Q24" s="19">
        <v>3.5</v>
      </c>
    </row>
    <row r="25" spans="1:17" x14ac:dyDescent="0.3">
      <c r="A25" s="26"/>
      <c r="B25" s="14" t="s">
        <v>84</v>
      </c>
      <c r="C25" s="16">
        <v>4</v>
      </c>
      <c r="D25" s="17">
        <v>3.952</v>
      </c>
      <c r="E25" s="17">
        <v>-1.2</v>
      </c>
      <c r="F25" s="17">
        <v>4.0629999999999997</v>
      </c>
      <c r="G25" s="18">
        <v>1.6</v>
      </c>
      <c r="H25" s="16">
        <v>40</v>
      </c>
      <c r="I25" s="17">
        <v>40.98</v>
      </c>
      <c r="J25" s="17">
        <v>2.5</v>
      </c>
      <c r="K25" s="17">
        <v>40.402999999999999</v>
      </c>
      <c r="L25" s="18">
        <v>1</v>
      </c>
      <c r="M25" s="16">
        <v>80</v>
      </c>
      <c r="N25" s="17">
        <v>81.751999999999995</v>
      </c>
      <c r="O25" s="17">
        <v>2.2000000000000002</v>
      </c>
      <c r="P25" s="17">
        <v>80.846999999999994</v>
      </c>
      <c r="Q25" s="19">
        <v>1.1000000000000001</v>
      </c>
    </row>
    <row r="26" spans="1:17" ht="15" thickBot="1" x14ac:dyDescent="0.35">
      <c r="A26" s="26"/>
      <c r="B26" s="14" t="s">
        <v>85</v>
      </c>
      <c r="C26" s="20">
        <v>300</v>
      </c>
      <c r="D26" s="21">
        <v>324.45600000000002</v>
      </c>
      <c r="E26" s="21">
        <v>8.1999999999999993</v>
      </c>
      <c r="F26" s="21">
        <v>305.47399999999999</v>
      </c>
      <c r="G26" s="22">
        <v>1.8</v>
      </c>
      <c r="H26" s="20">
        <v>3000</v>
      </c>
      <c r="I26" s="21">
        <v>3162.0430000000001</v>
      </c>
      <c r="J26" s="21">
        <v>5.4</v>
      </c>
      <c r="K26" s="21">
        <v>3242.7779999999998</v>
      </c>
      <c r="L26" s="22">
        <v>8.1</v>
      </c>
      <c r="M26" s="20">
        <v>6000</v>
      </c>
      <c r="N26" s="21">
        <v>6238.1419999999998</v>
      </c>
      <c r="O26" s="21">
        <v>4</v>
      </c>
      <c r="P26" s="21">
        <v>6073.2420000000002</v>
      </c>
      <c r="Q26" s="23">
        <v>1.2</v>
      </c>
    </row>
    <row r="27" spans="1:17" ht="15.6" thickTop="1" thickBot="1" x14ac:dyDescent="0.35"/>
    <row r="28" spans="1:17" ht="15" thickTop="1" x14ac:dyDescent="0.3">
      <c r="C28" s="28" t="s">
        <v>2</v>
      </c>
      <c r="D28" s="29"/>
      <c r="E28" s="29"/>
      <c r="F28" s="29"/>
      <c r="G28" s="31"/>
      <c r="H28" s="28" t="s">
        <v>3</v>
      </c>
      <c r="I28" s="29"/>
      <c r="J28" s="29"/>
      <c r="K28" s="29"/>
      <c r="L28" s="31"/>
      <c r="M28" s="28" t="s">
        <v>4</v>
      </c>
      <c r="N28" s="29"/>
      <c r="O28" s="29"/>
      <c r="P28" s="29"/>
      <c r="Q28" s="30"/>
    </row>
    <row r="29" spans="1:17" x14ac:dyDescent="0.3">
      <c r="C29" s="32" t="s">
        <v>5</v>
      </c>
      <c r="D29" s="26" t="s">
        <v>6</v>
      </c>
      <c r="E29" s="26"/>
      <c r="F29" s="26" t="s">
        <v>7</v>
      </c>
      <c r="G29" s="33"/>
      <c r="H29" s="32" t="s">
        <v>5</v>
      </c>
      <c r="I29" s="26" t="s">
        <v>6</v>
      </c>
      <c r="J29" s="26"/>
      <c r="K29" s="26" t="s">
        <v>7</v>
      </c>
      <c r="L29" s="33"/>
      <c r="M29" s="32" t="s">
        <v>5</v>
      </c>
      <c r="N29" s="26" t="s">
        <v>6</v>
      </c>
      <c r="O29" s="26"/>
      <c r="P29" s="26" t="s">
        <v>7</v>
      </c>
      <c r="Q29" s="27"/>
    </row>
    <row r="30" spans="1:17" ht="28.8" x14ac:dyDescent="0.3">
      <c r="C30" s="36"/>
      <c r="D30" s="9" t="s">
        <v>8</v>
      </c>
      <c r="E30" s="10" t="s">
        <v>9</v>
      </c>
      <c r="F30" s="9" t="s">
        <v>8</v>
      </c>
      <c r="G30" s="12" t="s">
        <v>9</v>
      </c>
      <c r="H30" s="36"/>
      <c r="I30" s="9" t="s">
        <v>8</v>
      </c>
      <c r="J30" s="10" t="s">
        <v>9</v>
      </c>
      <c r="K30" s="9" t="s">
        <v>8</v>
      </c>
      <c r="L30" s="12" t="s">
        <v>9</v>
      </c>
      <c r="M30" s="36"/>
      <c r="N30" s="9" t="s">
        <v>8</v>
      </c>
      <c r="O30" s="10" t="s">
        <v>9</v>
      </c>
      <c r="P30" s="9" t="s">
        <v>8</v>
      </c>
      <c r="Q30" s="11" t="s">
        <v>9</v>
      </c>
    </row>
    <row r="31" spans="1:17" ht="15" thickBot="1" x14ac:dyDescent="0.35">
      <c r="A31" s="2" t="s">
        <v>1</v>
      </c>
      <c r="B31" s="14" t="s">
        <v>86</v>
      </c>
      <c r="C31" s="20">
        <v>500</v>
      </c>
      <c r="D31" s="21">
        <v>518.54200000000003</v>
      </c>
      <c r="E31" s="21">
        <v>3.7</v>
      </c>
      <c r="F31" s="21">
        <v>513.15200000000004</v>
      </c>
      <c r="G31" s="22">
        <v>2.6</v>
      </c>
      <c r="H31" s="20">
        <v>5000</v>
      </c>
      <c r="I31" s="21">
        <v>4823.9040000000005</v>
      </c>
      <c r="J31" s="21">
        <v>-3.5</v>
      </c>
      <c r="K31" s="21">
        <v>5047.1459999999997</v>
      </c>
      <c r="L31" s="22">
        <v>0.9</v>
      </c>
      <c r="M31" s="20">
        <v>10000</v>
      </c>
      <c r="N31" s="21">
        <v>9402.7929999999997</v>
      </c>
      <c r="O31" s="21">
        <v>-6</v>
      </c>
      <c r="P31" s="21">
        <v>9750.32</v>
      </c>
      <c r="Q31" s="23">
        <v>-2.5</v>
      </c>
    </row>
    <row r="32" spans="1:17" ht="15" thickTop="1" x14ac:dyDescent="0.3">
      <c r="B32" s="24"/>
    </row>
    <row r="33" spans="2:2" x14ac:dyDescent="0.3">
      <c r="B33" s="24"/>
    </row>
    <row r="34" spans="2:2" x14ac:dyDescent="0.3">
      <c r="B34" s="24"/>
    </row>
    <row r="35" spans="2:2" x14ac:dyDescent="0.3">
      <c r="B35" s="24"/>
    </row>
    <row r="36" spans="2:2" x14ac:dyDescent="0.3">
      <c r="B36" s="24"/>
    </row>
    <row r="37" spans="2:2" x14ac:dyDescent="0.3">
      <c r="B37" s="24"/>
    </row>
    <row r="38" spans="2:2" x14ac:dyDescent="0.3">
      <c r="B38" s="24"/>
    </row>
    <row r="39" spans="2:2" x14ac:dyDescent="0.3">
      <c r="B39" s="24"/>
    </row>
    <row r="40" spans="2:2" x14ac:dyDescent="0.3">
      <c r="B40" s="24"/>
    </row>
    <row r="41" spans="2:2" x14ac:dyDescent="0.3">
      <c r="B41" s="24"/>
    </row>
    <row r="42" spans="2:2" x14ac:dyDescent="0.3">
      <c r="B42" s="24"/>
    </row>
    <row r="43" spans="2:2" x14ac:dyDescent="0.3">
      <c r="B43" s="24"/>
    </row>
    <row r="44" spans="2:2" x14ac:dyDescent="0.3">
      <c r="B44" s="24"/>
    </row>
    <row r="45" spans="2:2" x14ac:dyDescent="0.3">
      <c r="B45" s="24"/>
    </row>
    <row r="46" spans="2:2" x14ac:dyDescent="0.3">
      <c r="B46" s="24"/>
    </row>
    <row r="47" spans="2:2" x14ac:dyDescent="0.3">
      <c r="B47" s="24"/>
    </row>
    <row r="48" spans="2:2" x14ac:dyDescent="0.3">
      <c r="B48" s="24"/>
    </row>
    <row r="49" spans="2:2" x14ac:dyDescent="0.3">
      <c r="B49" s="24"/>
    </row>
    <row r="50" spans="2:2" x14ac:dyDescent="0.3">
      <c r="B50" s="24"/>
    </row>
    <row r="51" spans="2:2" x14ac:dyDescent="0.3">
      <c r="B51" s="24"/>
    </row>
  </sheetData>
  <mergeCells count="25">
    <mergeCell ref="A6:A26"/>
    <mergeCell ref="C28:G28"/>
    <mergeCell ref="H28:L28"/>
    <mergeCell ref="M28:Q28"/>
    <mergeCell ref="M29:M30"/>
    <mergeCell ref="N29:O29"/>
    <mergeCell ref="P29:Q29"/>
    <mergeCell ref="C29:C30"/>
    <mergeCell ref="D29:E29"/>
    <mergeCell ref="F29:G29"/>
    <mergeCell ref="H29:H30"/>
    <mergeCell ref="I29:J29"/>
    <mergeCell ref="K29:L29"/>
    <mergeCell ref="C3:G3"/>
    <mergeCell ref="H3:L3"/>
    <mergeCell ref="M3:Q3"/>
    <mergeCell ref="C4:C5"/>
    <mergeCell ref="D4:E4"/>
    <mergeCell ref="F4:G4"/>
    <mergeCell ref="H4:H5"/>
    <mergeCell ref="I4:J4"/>
    <mergeCell ref="K4:L4"/>
    <mergeCell ref="M4:M5"/>
    <mergeCell ref="N4:O4"/>
    <mergeCell ref="P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1D88-0AFD-4E70-96D8-8AB75B389CEC}">
  <sheetPr codeName="Feuil8">
    <tabColor rgb="FF008000"/>
  </sheetPr>
  <dimension ref="A3:N21"/>
  <sheetViews>
    <sheetView workbookViewId="0">
      <selection activeCell="D8" sqref="D8"/>
    </sheetView>
  </sheetViews>
  <sheetFormatPr baseColWidth="10" defaultRowHeight="14.4" x14ac:dyDescent="0.3"/>
  <cols>
    <col min="1" max="1" width="19.5546875" bestFit="1" customWidth="1"/>
    <col min="2" max="2" width="9.109375"/>
    <col min="3" max="14" width="16.109375" customWidth="1"/>
  </cols>
  <sheetData>
    <row r="3" spans="1:14" x14ac:dyDescent="0.3">
      <c r="A3" s="35" t="s">
        <v>0</v>
      </c>
      <c r="B3" s="8"/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</row>
    <row r="4" spans="1:14" x14ac:dyDescent="0.3">
      <c r="A4" s="35"/>
      <c r="B4" s="13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5" t="s">
        <v>18</v>
      </c>
      <c r="K4" s="5" t="s">
        <v>19</v>
      </c>
      <c r="L4" s="5" t="s">
        <v>20</v>
      </c>
      <c r="M4" s="1" t="s">
        <v>33</v>
      </c>
      <c r="N4" s="1" t="s">
        <v>34</v>
      </c>
    </row>
    <row r="5" spans="1:14" x14ac:dyDescent="0.3">
      <c r="A5" s="35"/>
      <c r="B5" s="13" t="s">
        <v>21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  <c r="M5" s="1" t="s">
        <v>45</v>
      </c>
      <c r="N5" s="1" t="s">
        <v>46</v>
      </c>
    </row>
    <row r="6" spans="1:14" x14ac:dyDescent="0.3">
      <c r="A6" s="35"/>
      <c r="B6" s="13" t="s">
        <v>22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</row>
    <row r="7" spans="1:14" x14ac:dyDescent="0.3">
      <c r="A7" s="35"/>
      <c r="B7" s="13" t="s">
        <v>23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37" t="s">
        <v>30</v>
      </c>
      <c r="I7" s="37" t="s">
        <v>31</v>
      </c>
      <c r="J7" s="37" t="s">
        <v>32</v>
      </c>
      <c r="K7" s="1"/>
      <c r="L7" s="1"/>
      <c r="M7" s="1"/>
      <c r="N7" s="1"/>
    </row>
    <row r="8" spans="1:14" x14ac:dyDescent="0.3">
      <c r="A8" s="35"/>
      <c r="B8" s="13" t="s">
        <v>24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35"/>
      <c r="B9" s="13" t="s">
        <v>25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35"/>
      <c r="B10" s="13" t="s">
        <v>26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35"/>
      <c r="B11" s="13" t="s">
        <v>27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3" spans="1:14" x14ac:dyDescent="0.3">
      <c r="A13" s="35" t="s">
        <v>87</v>
      </c>
      <c r="B13" s="8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</row>
    <row r="14" spans="1:14" x14ac:dyDescent="0.3">
      <c r="A14" s="35"/>
      <c r="B14" s="13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5" t="s">
        <v>18</v>
      </c>
      <c r="K14" s="5" t="s">
        <v>19</v>
      </c>
      <c r="L14" s="5" t="s">
        <v>20</v>
      </c>
      <c r="M14" s="1" t="s">
        <v>33</v>
      </c>
      <c r="N14" s="1" t="s">
        <v>34</v>
      </c>
    </row>
    <row r="15" spans="1:14" x14ac:dyDescent="0.3">
      <c r="A15" s="35"/>
      <c r="B15" s="13" t="s">
        <v>21</v>
      </c>
      <c r="C15" s="1" t="s">
        <v>35</v>
      </c>
      <c r="D15" s="1" t="s">
        <v>36</v>
      </c>
      <c r="E15" s="1" t="s">
        <v>37</v>
      </c>
      <c r="F15" s="1" t="s">
        <v>38</v>
      </c>
      <c r="G15" s="1" t="s">
        <v>39</v>
      </c>
      <c r="H15" s="1" t="s">
        <v>40</v>
      </c>
      <c r="I15" s="1" t="s">
        <v>41</v>
      </c>
      <c r="J15" s="1" t="s">
        <v>42</v>
      </c>
      <c r="K15" s="1" t="s">
        <v>43</v>
      </c>
      <c r="L15" s="1" t="s">
        <v>44</v>
      </c>
      <c r="M15" s="1" t="s">
        <v>45</v>
      </c>
      <c r="N15" s="1" t="s">
        <v>46</v>
      </c>
    </row>
    <row r="16" spans="1:14" x14ac:dyDescent="0.3">
      <c r="A16" s="35"/>
      <c r="B16" s="13" t="s">
        <v>22</v>
      </c>
      <c r="C16" s="1" t="s">
        <v>47</v>
      </c>
      <c r="D16" s="1" t="s">
        <v>48</v>
      </c>
      <c r="E16" s="1" t="s">
        <v>49</v>
      </c>
      <c r="F16" s="1" t="s">
        <v>50</v>
      </c>
      <c r="G16" s="1" t="s">
        <v>51</v>
      </c>
      <c r="H16" s="1" t="s">
        <v>52</v>
      </c>
      <c r="I16" s="1" t="s">
        <v>53</v>
      </c>
      <c r="J16" s="1" t="s">
        <v>54</v>
      </c>
      <c r="K16" s="1" t="s">
        <v>55</v>
      </c>
      <c r="L16" s="1" t="s">
        <v>56</v>
      </c>
      <c r="M16" s="1" t="s">
        <v>57</v>
      </c>
      <c r="N16" s="1" t="s">
        <v>58</v>
      </c>
    </row>
    <row r="17" spans="1:14" x14ac:dyDescent="0.3">
      <c r="A17" s="35"/>
      <c r="B17" s="13" t="s">
        <v>23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37" t="s">
        <v>30</v>
      </c>
      <c r="I17" s="37" t="s">
        <v>31</v>
      </c>
      <c r="J17" s="37" t="s">
        <v>32</v>
      </c>
      <c r="K17" s="1"/>
      <c r="L17" s="1"/>
      <c r="M17" s="1"/>
      <c r="N17" s="1"/>
    </row>
    <row r="18" spans="1:14" x14ac:dyDescent="0.3">
      <c r="A18" s="35"/>
      <c r="B18" s="13" t="s">
        <v>24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35"/>
      <c r="B19" s="13" t="s">
        <v>25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35"/>
      <c r="B20" s="13" t="s">
        <v>26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35"/>
      <c r="B21" s="13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mergeCells count="2">
    <mergeCell ref="A3:A11"/>
    <mergeCell ref="A13:A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Normalisation_Data set client</vt:lpstr>
      <vt:lpstr>Quality Control</vt:lpstr>
      <vt:lpstr>Plate Map</vt:lpstr>
    </vt:vector>
  </TitlesOfParts>
  <Company>Universite de Tours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Lefevre</dc:creator>
  <cp:lastModifiedBy>Camille Dupuy</cp:lastModifiedBy>
  <dcterms:created xsi:type="dcterms:W3CDTF">2025-01-09T13:43:57Z</dcterms:created>
  <dcterms:modified xsi:type="dcterms:W3CDTF">2025-01-22T10:45:53Z</dcterms:modified>
</cp:coreProperties>
</file>