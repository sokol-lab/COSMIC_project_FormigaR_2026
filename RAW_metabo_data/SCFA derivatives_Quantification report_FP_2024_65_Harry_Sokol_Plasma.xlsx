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rigo Formiga\Downloads\"/>
    </mc:Choice>
  </mc:AlternateContent>
  <xr:revisionPtr revIDLastSave="0" documentId="13_ncr:1_{B731A21B-33C0-4714-A82A-16A489D5F10D}" xr6:coauthVersionLast="47" xr6:coauthVersionMax="47" xr10:uidLastSave="{00000000-0000-0000-0000-000000000000}"/>
  <bookViews>
    <workbookView xWindow="-120" yWindow="-120" windowWidth="29040" windowHeight="15720" xr2:uid="{08157429-615E-4292-82F5-161E8EE5B0EE}"/>
  </bookViews>
  <sheets>
    <sheet name="Data set" sheetId="14" r:id="rId1"/>
    <sheet name="Quality Control" sheetId="12" r:id="rId2"/>
    <sheet name="Plate Map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<sst xmlns="http://schemas.openxmlformats.org/spreadsheetml/2006/main" count="221" uniqueCount="138">
  <si>
    <t>Acetic Acid</t>
  </si>
  <si>
    <t>Propionic Acid</t>
  </si>
  <si>
    <t>Butyric Acid</t>
  </si>
  <si>
    <t>IsoButyric Acid</t>
  </si>
  <si>
    <t>Valeric Acid</t>
  </si>
  <si>
    <t>IsoValeric Acid</t>
  </si>
  <si>
    <t>Low Level QC</t>
  </si>
  <si>
    <t>Theorical Concentrations (nM)</t>
  </si>
  <si>
    <t>Beginning of the batch</t>
  </si>
  <si>
    <t>End of the batch</t>
  </si>
  <si>
    <t>Calculated Concentrations (nM)</t>
  </si>
  <si>
    <t>% Diff</t>
  </si>
  <si>
    <t>Medium Level QC</t>
  </si>
  <si>
    <t>High Level QC</t>
  </si>
  <si>
    <t>A</t>
  </si>
  <si>
    <t>B</t>
  </si>
  <si>
    <t>C</t>
  </si>
  <si>
    <t>D</t>
  </si>
  <si>
    <t>E</t>
  </si>
  <si>
    <t>F</t>
  </si>
  <si>
    <t>G</t>
  </si>
  <si>
    <t>H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</si>
  <si>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</si>
  <si>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</si>
  <si>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</si>
  <si>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</si>
  <si>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</si>
  <si>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</si>
  <si>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</si>
  <si>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</si>
  <si>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</si>
  <si>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</si>
  <si>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C2</t>
  </si>
  <si>
    <t>C3</t>
  </si>
  <si>
    <t>C4</t>
  </si>
  <si>
    <t>IC4</t>
  </si>
  <si>
    <t>C5</t>
  </si>
  <si>
    <t>IC5</t>
  </si>
  <si>
    <t>LLOQ (nM)</t>
  </si>
  <si>
    <t>ULOQ (nM)</t>
  </si>
  <si>
    <t>2024_3298</t>
  </si>
  <si>
    <t>2024_3299</t>
  </si>
  <si>
    <t>2024_3300</t>
  </si>
  <si>
    <t>2024_3301</t>
  </si>
  <si>
    <t>2024_3302</t>
  </si>
  <si>
    <t>2024_3303</t>
  </si>
  <si>
    <t>2024_3304</t>
  </si>
  <si>
    <t>2024_3305</t>
  </si>
  <si>
    <t>2024_3306</t>
  </si>
  <si>
    <t>2024_3307</t>
  </si>
  <si>
    <t>2024_3308</t>
  </si>
  <si>
    <t>2024_3309</t>
  </si>
  <si>
    <t>2024_3310</t>
  </si>
  <si>
    <t>2024_3311</t>
  </si>
  <si>
    <t>2024_3312</t>
  </si>
  <si>
    <t>2024_3313</t>
  </si>
  <si>
    <t>2024_3314</t>
  </si>
  <si>
    <t>2024_3315</t>
  </si>
  <si>
    <t>2024_3316</t>
  </si>
  <si>
    <t>2024_3317</t>
  </si>
  <si>
    <t>2024_3318</t>
  </si>
  <si>
    <t>2024_3319</t>
  </si>
  <si>
    <t>2024_3320</t>
  </si>
  <si>
    <t>2024_3321</t>
  </si>
  <si>
    <t>2024_3322</t>
  </si>
  <si>
    <t>2024_3323</t>
  </si>
  <si>
    <t>2024_3324</t>
  </si>
  <si>
    <t>2024_3325</t>
  </si>
  <si>
    <t>2024_3326</t>
  </si>
  <si>
    <t>2024_3327</t>
  </si>
  <si>
    <t>2024_3328</t>
  </si>
  <si>
    <t>2024_3329</t>
  </si>
  <si>
    <t>2024_3330</t>
  </si>
  <si>
    <t>0058-A-B 08/06/2023</t>
  </si>
  <si>
    <t>0058 A-B 02/08/2023</t>
  </si>
  <si>
    <t>0059 B-M 18/07/2023</t>
  </si>
  <si>
    <t>0059 B-M 20/09/2023</t>
  </si>
  <si>
    <t>0061 S-C 03/08/2023</t>
  </si>
  <si>
    <t>0061 S-C 18/10/2023</t>
  </si>
  <si>
    <t>0062 D-J 04/08/2023</t>
  </si>
  <si>
    <t>0062 D-J 18/10/2023</t>
  </si>
  <si>
    <t>0064 M-J 05/09/2023</t>
  </si>
  <si>
    <t>0064 M-J 20/11/2023</t>
  </si>
  <si>
    <t>0067 H-S 02/01/2024</t>
  </si>
  <si>
    <t>0067 H-S 04/03/2024</t>
  </si>
  <si>
    <t>0068 B-G 04/01/2024</t>
  </si>
  <si>
    <t>0068 B-G 22/04/2024</t>
  </si>
  <si>
    <t>0070 R-S 09/01/2024</t>
  </si>
  <si>
    <t>0070 R-S 19/03/2024</t>
  </si>
  <si>
    <t>0071 G-E 17/01/2024</t>
  </si>
  <si>
    <t>0071 G-E 06/05/2024</t>
  </si>
  <si>
    <t>0073 L-P 06/02/2024</t>
  </si>
  <si>
    <t>0073 L-P 09/04/2024</t>
  </si>
  <si>
    <t>0075 L-M 20/03/2024</t>
  </si>
  <si>
    <t>0075 L-M 10/06/2024</t>
  </si>
  <si>
    <t>HD1 0806</t>
  </si>
  <si>
    <t>HD2 1405</t>
  </si>
  <si>
    <t>HD3 1303</t>
  </si>
  <si>
    <t>HD4 0408</t>
  </si>
  <si>
    <t>HD5 0509</t>
  </si>
  <si>
    <t>HD6 0201</t>
  </si>
  <si>
    <t>HD7 0401</t>
  </si>
  <si>
    <t>HD8 0401</t>
  </si>
  <si>
    <t>HD9 0901</t>
  </si>
  <si>
    <t>HD10 2201</t>
  </si>
  <si>
    <t>HD11 0602</t>
  </si>
  <si>
    <t>Costumer
Sample ID</t>
  </si>
  <si>
    <t>PMAC
Sample ID</t>
  </si>
  <si>
    <t>Biological Concentration (pmol/mL)</t>
  </si>
  <si>
    <t>QC_Low_2</t>
  </si>
  <si>
    <t>QC_Medium_2</t>
  </si>
  <si>
    <t>QC_High_2</t>
  </si>
  <si>
    <t>Study FP_2024_57</t>
  </si>
  <si>
    <t>&lt; LLOQ</t>
  </si>
  <si>
    <t>Before FMT</t>
  </si>
  <si>
    <t>Cosmic 27</t>
  </si>
  <si>
    <t>After FMT</t>
  </si>
  <si>
    <t>Cosmic 31</t>
  </si>
  <si>
    <t>Cosmic 29</t>
  </si>
  <si>
    <t>Cosmic 36</t>
  </si>
  <si>
    <t>Cosmic 32</t>
  </si>
  <si>
    <t>Cosmic 39</t>
  </si>
  <si>
    <t>Cosmic 34</t>
  </si>
  <si>
    <t>Cosmic 40</t>
  </si>
  <si>
    <t>Cosmic 35</t>
  </si>
  <si>
    <t>Cosmic 41</t>
  </si>
  <si>
    <t>Cosmic 46</t>
  </si>
  <si>
    <t>Cosmic 52</t>
  </si>
  <si>
    <t>Cosmic 45</t>
  </si>
  <si>
    <t>Cosmic 57</t>
  </si>
  <si>
    <t>Cosmic 9</t>
  </si>
  <si>
    <t>Cosmic 53</t>
  </si>
  <si>
    <t>Cosmic 48</t>
  </si>
  <si>
    <t>Cosmic 58</t>
  </si>
  <si>
    <t>Cosmic 51</t>
  </si>
  <si>
    <t>Cosmic 56</t>
  </si>
  <si>
    <t>Cosmic 54</t>
  </si>
  <si>
    <t>Cosmic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</si>
</sst>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2" borderId="0" xfId="0" applyFill="1"/>
    <xf numFmtId="0" fontId="0" fillId="3" borderId="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</cellXfs>
  <cellStyles count="2">
    <cellStyle name="Normal" xfId="0" builtinId="0"/>
    <cellStyle name="Normal 4" xfId="1" xr:uid="{452E60A1-F210-4F6A-9390-2B6569D6E711}"/>
  </cellStyles>
  <dxfs count="5">
    <dxf>
      <font>
        <color rgb="FF9C0006"/>
      </font>
      <fill>
        <patternFill>
          <fgColor indexed="64"/>
          <bgColor rgb="FFFFC7CE"/>
        </patternFill>
      </fill>
    </dxf>
    <dxf>
      <font>
        <color theme="1"/>
      </font>
      <fill>
        <patternFill>
          <fgColor indexed="64"/>
          <bgColor theme="8" tint="0.59996337778862885"/>
        </patternFill>
      </fill>
    </dxf>
    <dxf>
      <font>
        <color auto="1"/>
      </font>
      <fill>
        <patternFill>
          <fgColor indexed="64"/>
          <bgColor theme="5" tint="0.59996337778862885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2871-5F55-422B-8FC3-D047C1CB16DC}">
  <sheetPr codeName="Feuil14">
    <tabColor rgb="FF00B050"/>
  </sheetPr>
  <dimension ref="B1:K41"/>
  <sheetViews>
    <sheetView tabSelected="1" topLeftCell="B1" workbookViewId="0">
      <selection activeCell="O15" sqref="O15"/>
    </sheetView>
  </sheetViews>
  <sheetFormatPr defaultColWidth="11.42578125" defaultRowHeight="15" x14ac:dyDescent="0.25"/>
  <cols>
    <col min="4" max="4" width="18.85546875" bestFit="1" customWidth="1"/>
    <col min="5" max="5" width="39.7109375" bestFit="1" customWidth="1"/>
    <col min="6" max="8" width="18.85546875" bestFit="1" customWidth="1"/>
    <col min="9" max="11" width="16.85546875" bestFit="1" customWidth="1"/>
  </cols>
  <sheetData>
    <row r="1" spans="2:11" ht="24" x14ac:dyDescent="0.25">
      <c r="F1" s="26" t="s">
        <v>108</v>
      </c>
      <c r="G1" s="26"/>
      <c r="H1" s="26"/>
      <c r="I1" s="26"/>
      <c r="J1" s="26"/>
      <c r="K1" s="26"/>
    </row>
    <row r="2" spans="2:11" ht="30" x14ac:dyDescent="0.25">
      <c r="D2" s="11" t="s">
        <v>106</v>
      </c>
      <c r="E2" s="2" t="s">
        <v>107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</row>
    <row r="3" spans="2:11" x14ac:dyDescent="0.25">
      <c r="B3" s="36" t="s">
        <v>114</v>
      </c>
      <c r="C3" s="36" t="s">
        <v>115</v>
      </c>
      <c r="D3" s="1" t="s">
        <v>73</v>
      </c>
      <c r="E3" s="1" t="s">
        <v>40</v>
      </c>
      <c r="F3" s="25">
        <v>103267.6</v>
      </c>
      <c r="G3" s="25">
        <v>15229.6</v>
      </c>
      <c r="H3" s="25">
        <v>8220.4</v>
      </c>
      <c r="I3" s="25">
        <v>897.6</v>
      </c>
      <c r="J3" s="25">
        <v>996</v>
      </c>
      <c r="K3" s="25">
        <v>1282.4000000000001</v>
      </c>
    </row>
    <row r="4" spans="2:11" x14ac:dyDescent="0.25">
      <c r="B4" s="37" t="s">
        <v>116</v>
      </c>
      <c r="C4" s="37" t="s">
        <v>117</v>
      </c>
      <c r="D4" s="1" t="s">
        <v>74</v>
      </c>
      <c r="E4" s="1" t="s">
        <v>41</v>
      </c>
      <c r="F4" s="25">
        <v>100178</v>
      </c>
      <c r="G4" s="25">
        <v>25394.799999999999</v>
      </c>
      <c r="H4" s="25">
        <v>22254.400000000001</v>
      </c>
      <c r="I4" s="25">
        <v>1526</v>
      </c>
      <c r="J4" s="25">
        <v>882</v>
      </c>
      <c r="K4" s="25">
        <v>2127.1999999999998</v>
      </c>
    </row>
    <row r="5" spans="2:11" x14ac:dyDescent="0.25">
      <c r="B5" s="36" t="s">
        <v>114</v>
      </c>
      <c r="C5" s="36" t="s">
        <v>118</v>
      </c>
      <c r="D5" s="1" t="s">
        <v>75</v>
      </c>
      <c r="E5" s="1" t="s">
        <v>42</v>
      </c>
      <c r="F5" s="25">
        <v>146534.39999999999</v>
      </c>
      <c r="G5" s="25">
        <v>19596.400000000001</v>
      </c>
      <c r="H5" s="25">
        <v>20120.8</v>
      </c>
      <c r="I5" s="25">
        <v>946</v>
      </c>
      <c r="J5" s="25">
        <v>1026.4000000000001</v>
      </c>
      <c r="K5" s="25">
        <v>671.2</v>
      </c>
    </row>
    <row r="6" spans="2:11" x14ac:dyDescent="0.25">
      <c r="B6" s="37" t="s">
        <v>116</v>
      </c>
      <c r="C6" s="37" t="s">
        <v>119</v>
      </c>
      <c r="D6" s="1" t="s">
        <v>76</v>
      </c>
      <c r="E6" s="1" t="s">
        <v>43</v>
      </c>
      <c r="F6" s="25">
        <v>80222</v>
      </c>
      <c r="G6" s="25">
        <v>66720.800000000003</v>
      </c>
      <c r="H6" s="25">
        <v>68034</v>
      </c>
      <c r="I6" s="25">
        <v>2527.6</v>
      </c>
      <c r="J6" s="25">
        <v>3361.2</v>
      </c>
      <c r="K6" s="25">
        <v>1133.2</v>
      </c>
    </row>
    <row r="7" spans="2:11" x14ac:dyDescent="0.25">
      <c r="B7" s="36" t="s">
        <v>114</v>
      </c>
      <c r="C7" s="36" t="s">
        <v>120</v>
      </c>
      <c r="D7" s="1" t="s">
        <v>77</v>
      </c>
      <c r="E7" s="1" t="s">
        <v>44</v>
      </c>
      <c r="F7" s="25">
        <v>114161.2</v>
      </c>
      <c r="G7" s="25">
        <v>17726.400000000001</v>
      </c>
      <c r="H7" s="25">
        <v>13290</v>
      </c>
      <c r="I7" s="25">
        <v>930.4</v>
      </c>
      <c r="J7" s="25">
        <v>944.4</v>
      </c>
      <c r="K7" s="25">
        <v>520</v>
      </c>
    </row>
    <row r="8" spans="2:11" x14ac:dyDescent="0.25">
      <c r="B8" s="37" t="s">
        <v>116</v>
      </c>
      <c r="C8" s="37" t="s">
        <v>121</v>
      </c>
      <c r="D8" s="1" t="s">
        <v>78</v>
      </c>
      <c r="E8" s="1" t="s">
        <v>45</v>
      </c>
      <c r="F8" s="25">
        <v>93369.2</v>
      </c>
      <c r="G8" s="25">
        <v>23700</v>
      </c>
      <c r="H8" s="25">
        <v>29570.799999999999</v>
      </c>
      <c r="I8" s="25">
        <v>1755.6</v>
      </c>
      <c r="J8" s="25">
        <v>1288.4000000000001</v>
      </c>
      <c r="K8" s="25">
        <v>1219.5999999999999</v>
      </c>
    </row>
    <row r="9" spans="2:11" x14ac:dyDescent="0.25">
      <c r="B9" s="36" t="s">
        <v>114</v>
      </c>
      <c r="C9" s="36" t="s">
        <v>122</v>
      </c>
      <c r="D9" s="1" t="s">
        <v>79</v>
      </c>
      <c r="E9" s="1" t="s">
        <v>46</v>
      </c>
      <c r="F9" s="25">
        <v>68434.8</v>
      </c>
      <c r="G9" s="25">
        <v>14807.2</v>
      </c>
      <c r="H9" s="25">
        <v>15172.4</v>
      </c>
      <c r="I9" s="25">
        <v>934</v>
      </c>
      <c r="J9" s="25">
        <v>715.2</v>
      </c>
      <c r="K9" s="25">
        <v>494.4</v>
      </c>
    </row>
    <row r="10" spans="2:11" x14ac:dyDescent="0.25">
      <c r="B10" s="37" t="s">
        <v>116</v>
      </c>
      <c r="C10" s="37" t="s">
        <v>123</v>
      </c>
      <c r="D10" s="1" t="s">
        <v>80</v>
      </c>
      <c r="E10" s="1" t="s">
        <v>47</v>
      </c>
      <c r="F10" s="25">
        <v>65014</v>
      </c>
      <c r="G10" s="25">
        <v>15830.8</v>
      </c>
      <c r="H10" s="25">
        <v>15560.4</v>
      </c>
      <c r="I10" s="25">
        <v>929.2</v>
      </c>
      <c r="J10" s="25">
        <v>810.4</v>
      </c>
      <c r="K10" s="25">
        <v>1012.4</v>
      </c>
    </row>
    <row r="11" spans="2:11" x14ac:dyDescent="0.25">
      <c r="B11" s="36" t="s">
        <v>114</v>
      </c>
      <c r="C11" s="36" t="s">
        <v>124</v>
      </c>
      <c r="D11" s="1" t="s">
        <v>81</v>
      </c>
      <c r="E11" s="1" t="s">
        <v>48</v>
      </c>
      <c r="F11" s="25">
        <v>564374.4</v>
      </c>
      <c r="G11" s="25">
        <v>20793.2</v>
      </c>
      <c r="H11" s="25">
        <v>11118.4</v>
      </c>
      <c r="I11" s="25">
        <v>1750.8</v>
      </c>
      <c r="J11" s="25">
        <v>918.8</v>
      </c>
      <c r="K11" s="25">
        <v>1978.4</v>
      </c>
    </row>
    <row r="12" spans="2:11" x14ac:dyDescent="0.25">
      <c r="B12" s="37" t="s">
        <v>116</v>
      </c>
      <c r="C12" s="37" t="s">
        <v>125</v>
      </c>
      <c r="D12" s="1" t="s">
        <v>82</v>
      </c>
      <c r="E12" s="1" t="s">
        <v>49</v>
      </c>
      <c r="F12" s="25">
        <v>189992</v>
      </c>
      <c r="G12" s="25">
        <v>21214</v>
      </c>
      <c r="H12" s="25">
        <v>17553.2</v>
      </c>
      <c r="I12" s="25">
        <v>1239.2</v>
      </c>
      <c r="J12" s="25">
        <v>835.2</v>
      </c>
      <c r="K12" s="25">
        <v>744.8</v>
      </c>
    </row>
    <row r="13" spans="2:11" x14ac:dyDescent="0.25">
      <c r="B13" s="36" t="s">
        <v>114</v>
      </c>
      <c r="C13" s="36" t="s">
        <v>126</v>
      </c>
      <c r="D13" s="1" t="s">
        <v>83</v>
      </c>
      <c r="E13" s="1" t="s">
        <v>50</v>
      </c>
      <c r="F13" s="25">
        <v>148842.79999999999</v>
      </c>
      <c r="G13" s="25">
        <v>5604.8</v>
      </c>
      <c r="H13" s="25">
        <v>8321.6</v>
      </c>
      <c r="I13" s="25">
        <v>571.20000000000005</v>
      </c>
      <c r="J13" s="25">
        <v>598.79999999999995</v>
      </c>
      <c r="K13" s="25">
        <v>746</v>
      </c>
    </row>
    <row r="14" spans="2:11" x14ac:dyDescent="0.25">
      <c r="B14" s="37" t="s">
        <v>116</v>
      </c>
      <c r="C14" s="37" t="s">
        <v>127</v>
      </c>
      <c r="D14" s="1" t="s">
        <v>84</v>
      </c>
      <c r="E14" s="1" t="s">
        <v>51</v>
      </c>
      <c r="F14" s="25">
        <v>82355.199999999997</v>
      </c>
      <c r="G14" s="25">
        <v>18096</v>
      </c>
      <c r="H14" s="25">
        <v>18873.599999999999</v>
      </c>
      <c r="I14" s="25">
        <v>1061.5999999999999</v>
      </c>
      <c r="J14" s="25">
        <v>577.6</v>
      </c>
      <c r="K14" s="25">
        <v>499.2</v>
      </c>
    </row>
    <row r="15" spans="2:11" x14ac:dyDescent="0.25">
      <c r="B15" s="36" t="s">
        <v>114</v>
      </c>
      <c r="C15" s="36" t="s">
        <v>128</v>
      </c>
      <c r="D15" s="1" t="s">
        <v>85</v>
      </c>
      <c r="E15" s="1" t="s">
        <v>52</v>
      </c>
      <c r="F15" s="25">
        <v>102256</v>
      </c>
      <c r="G15" s="25">
        <v>17000</v>
      </c>
      <c r="H15" s="25">
        <v>9935.2000000000007</v>
      </c>
      <c r="I15" s="25">
        <v>1065.5999999999999</v>
      </c>
      <c r="J15" s="25">
        <v>676.8</v>
      </c>
      <c r="K15" s="25">
        <v>510.4</v>
      </c>
    </row>
    <row r="16" spans="2:11" x14ac:dyDescent="0.25">
      <c r="B16" s="37" t="s">
        <v>116</v>
      </c>
      <c r="C16" s="37" t="s">
        <v>129</v>
      </c>
      <c r="D16" s="1" t="s">
        <v>86</v>
      </c>
      <c r="E16" s="1" t="s">
        <v>53</v>
      </c>
      <c r="F16" s="25">
        <v>63447.199999999997</v>
      </c>
      <c r="G16" s="25">
        <v>48714.8</v>
      </c>
      <c r="H16" s="25">
        <v>23520</v>
      </c>
      <c r="I16" s="25">
        <v>1716.8</v>
      </c>
      <c r="J16" s="25">
        <v>1358</v>
      </c>
      <c r="K16" s="25">
        <v>904.4</v>
      </c>
    </row>
    <row r="17" spans="2:11" x14ac:dyDescent="0.25">
      <c r="B17" s="36" t="s">
        <v>114</v>
      </c>
      <c r="C17" s="38" t="s">
        <v>130</v>
      </c>
      <c r="D17" s="1" t="s">
        <v>87</v>
      </c>
      <c r="E17" s="1" t="s">
        <v>54</v>
      </c>
      <c r="F17" s="25">
        <v>93692</v>
      </c>
      <c r="G17" s="25">
        <v>13426.4</v>
      </c>
      <c r="H17" s="25">
        <v>12221.2</v>
      </c>
      <c r="I17" s="25">
        <v>1193.5999999999999</v>
      </c>
      <c r="J17" s="25">
        <v>807.6</v>
      </c>
      <c r="K17" s="25">
        <v>579.20000000000005</v>
      </c>
    </row>
    <row r="18" spans="2:11" x14ac:dyDescent="0.25">
      <c r="B18" s="37" t="s">
        <v>116</v>
      </c>
      <c r="C18" s="37" t="s">
        <v>131</v>
      </c>
      <c r="D18" s="1" t="s">
        <v>88</v>
      </c>
      <c r="E18" s="1" t="s">
        <v>55</v>
      </c>
      <c r="F18" s="25">
        <v>349494.4</v>
      </c>
      <c r="G18" s="25">
        <v>21493.599999999999</v>
      </c>
      <c r="H18" s="25">
        <v>27280.799999999999</v>
      </c>
      <c r="I18" s="25">
        <v>1445.2</v>
      </c>
      <c r="J18" s="25">
        <v>771.2</v>
      </c>
      <c r="K18" s="25">
        <v>755.6</v>
      </c>
    </row>
    <row r="19" spans="2:11" x14ac:dyDescent="0.25">
      <c r="B19" s="36" t="s">
        <v>114</v>
      </c>
      <c r="C19" s="36" t="s">
        <v>132</v>
      </c>
      <c r="D19" s="1" t="s">
        <v>89</v>
      </c>
      <c r="E19" s="1" t="s">
        <v>56</v>
      </c>
      <c r="F19" s="25">
        <v>47624.4</v>
      </c>
      <c r="G19" s="25">
        <v>11812.4</v>
      </c>
      <c r="H19" s="25">
        <v>12405.2</v>
      </c>
      <c r="I19" s="25">
        <v>888.8</v>
      </c>
      <c r="J19" s="25">
        <v>563.20000000000005</v>
      </c>
      <c r="K19" s="25">
        <v>1155.2</v>
      </c>
    </row>
    <row r="20" spans="2:11" x14ac:dyDescent="0.25">
      <c r="B20" s="37" t="s">
        <v>116</v>
      </c>
      <c r="C20" s="37" t="s">
        <v>133</v>
      </c>
      <c r="D20" s="1" t="s">
        <v>90</v>
      </c>
      <c r="E20" s="1" t="s">
        <v>57</v>
      </c>
      <c r="F20" s="25">
        <v>97268.800000000003</v>
      </c>
      <c r="G20" s="25">
        <v>38184.400000000001</v>
      </c>
      <c r="H20" s="25">
        <v>38646.800000000003</v>
      </c>
      <c r="I20" s="25">
        <v>1784.4</v>
      </c>
      <c r="J20" s="25">
        <v>1321.6</v>
      </c>
      <c r="K20" s="25">
        <v>934</v>
      </c>
    </row>
    <row r="21" spans="2:11" x14ac:dyDescent="0.25">
      <c r="B21" s="36" t="s">
        <v>114</v>
      </c>
      <c r="C21" s="36" t="s">
        <v>134</v>
      </c>
      <c r="D21" s="1" t="s">
        <v>91</v>
      </c>
      <c r="E21" s="1" t="s">
        <v>58</v>
      </c>
      <c r="F21" s="25">
        <v>181337.2</v>
      </c>
      <c r="G21" s="25">
        <v>5674.8</v>
      </c>
      <c r="H21" s="25">
        <v>10481.6</v>
      </c>
      <c r="I21" s="25">
        <v>1040</v>
      </c>
      <c r="J21" s="25">
        <v>842.8</v>
      </c>
      <c r="K21" s="25">
        <v>467.6</v>
      </c>
    </row>
    <row r="22" spans="2:11" x14ac:dyDescent="0.25">
      <c r="B22" s="37" t="s">
        <v>116</v>
      </c>
      <c r="C22" s="37" t="s">
        <v>135</v>
      </c>
      <c r="D22" s="1" t="s">
        <v>92</v>
      </c>
      <c r="E22" s="1" t="s">
        <v>59</v>
      </c>
      <c r="F22" s="25">
        <v>758408</v>
      </c>
      <c r="G22" s="25">
        <v>8158</v>
      </c>
      <c r="H22" s="25">
        <v>13113.6</v>
      </c>
      <c r="I22" s="25">
        <v>960</v>
      </c>
      <c r="J22" s="25">
        <v>600</v>
      </c>
      <c r="K22" s="25">
        <v>410.8</v>
      </c>
    </row>
    <row r="23" spans="2:11" x14ac:dyDescent="0.25">
      <c r="B23" s="36" t="s">
        <v>114</v>
      </c>
      <c r="C23" s="36" t="s">
        <v>136</v>
      </c>
      <c r="D23" s="1" t="s">
        <v>93</v>
      </c>
      <c r="E23" s="1" t="s">
        <v>60</v>
      </c>
      <c r="F23" s="25">
        <v>66609.2</v>
      </c>
      <c r="G23" s="25">
        <v>16724.8</v>
      </c>
      <c r="H23" s="25">
        <v>10840.8</v>
      </c>
      <c r="I23" s="25">
        <v>728.4</v>
      </c>
      <c r="J23" s="25">
        <v>1105.2</v>
      </c>
      <c r="K23" s="25">
        <v>460.4</v>
      </c>
    </row>
    <row r="24" spans="2:11" x14ac:dyDescent="0.25">
      <c r="B24" s="37" t="s">
        <v>116</v>
      </c>
      <c r="C24" s="37" t="s">
        <v>137</v>
      </c>
      <c r="D24" s="1" t="s">
        <v>94</v>
      </c>
      <c r="E24" s="1" t="s">
        <v>61</v>
      </c>
      <c r="F24" s="25">
        <v>55559.199999999997</v>
      </c>
      <c r="G24" s="25">
        <v>23594.400000000001</v>
      </c>
      <c r="H24" s="25">
        <v>22464.400000000001</v>
      </c>
      <c r="I24" s="25">
        <v>1971.2</v>
      </c>
      <c r="J24" s="25">
        <v>1556.8</v>
      </c>
      <c r="K24" s="25">
        <v>942.8</v>
      </c>
    </row>
    <row r="25" spans="2:11" x14ac:dyDescent="0.25">
      <c r="D25" s="1" t="s">
        <v>95</v>
      </c>
      <c r="E25" s="1" t="s">
        <v>62</v>
      </c>
      <c r="F25" s="25">
        <v>127002.8</v>
      </c>
      <c r="G25" s="25">
        <v>21195.599999999999</v>
      </c>
      <c r="H25" s="25">
        <v>13313.2</v>
      </c>
      <c r="I25" s="25">
        <v>717.2</v>
      </c>
      <c r="J25" s="25">
        <v>520</v>
      </c>
      <c r="K25" s="25">
        <v>1339.6</v>
      </c>
    </row>
    <row r="26" spans="2:11" x14ac:dyDescent="0.25">
      <c r="D26" s="1" t="s">
        <v>96</v>
      </c>
      <c r="E26" s="1" t="s">
        <v>63</v>
      </c>
      <c r="F26" s="25">
        <v>44823.6</v>
      </c>
      <c r="G26" s="25">
        <v>17136.8</v>
      </c>
      <c r="H26" s="25">
        <v>17192</v>
      </c>
      <c r="I26" s="25">
        <v>1145.2</v>
      </c>
      <c r="J26" s="25" t="s">
        <v>113</v>
      </c>
      <c r="K26" s="25">
        <v>1132.8</v>
      </c>
    </row>
    <row r="27" spans="2:11" x14ac:dyDescent="0.25">
      <c r="D27" s="1" t="s">
        <v>97</v>
      </c>
      <c r="E27" s="1" t="s">
        <v>64</v>
      </c>
      <c r="F27" s="25">
        <v>61864</v>
      </c>
      <c r="G27" s="25">
        <v>13360.4</v>
      </c>
      <c r="H27" s="25">
        <v>11026.8</v>
      </c>
      <c r="I27" s="25">
        <v>482.8</v>
      </c>
      <c r="J27" s="25">
        <v>498</v>
      </c>
      <c r="K27" s="25">
        <v>558</v>
      </c>
    </row>
    <row r="28" spans="2:11" x14ac:dyDescent="0.25">
      <c r="D28" s="1" t="s">
        <v>98</v>
      </c>
      <c r="E28" s="1" t="s">
        <v>65</v>
      </c>
      <c r="F28" s="25">
        <v>54044</v>
      </c>
      <c r="G28" s="25" t="s">
        <v>113</v>
      </c>
      <c r="H28" s="25">
        <v>10881.2</v>
      </c>
      <c r="I28" s="25">
        <v>654</v>
      </c>
      <c r="J28" s="25" t="s">
        <v>113</v>
      </c>
      <c r="K28" s="25">
        <v>382</v>
      </c>
    </row>
    <row r="29" spans="2:11" x14ac:dyDescent="0.25">
      <c r="D29" s="1" t="s">
        <v>99</v>
      </c>
      <c r="E29" s="1" t="s">
        <v>66</v>
      </c>
      <c r="F29" s="25">
        <v>64360</v>
      </c>
      <c r="G29" s="25">
        <v>27738</v>
      </c>
      <c r="H29" s="25">
        <v>12194</v>
      </c>
      <c r="I29" s="25">
        <v>1450.8</v>
      </c>
      <c r="J29" s="25">
        <v>548.79999999999995</v>
      </c>
      <c r="K29" s="25">
        <v>863.6</v>
      </c>
    </row>
    <row r="30" spans="2:11" x14ac:dyDescent="0.25">
      <c r="D30" s="1" t="s">
        <v>100</v>
      </c>
      <c r="E30" s="1" t="s">
        <v>67</v>
      </c>
      <c r="F30" s="25">
        <v>77130</v>
      </c>
      <c r="G30" s="25">
        <v>11215.6</v>
      </c>
      <c r="H30" s="25">
        <v>17774</v>
      </c>
      <c r="I30" s="25">
        <v>945.6</v>
      </c>
      <c r="J30" s="25">
        <v>370.4</v>
      </c>
      <c r="K30" s="25">
        <v>526</v>
      </c>
    </row>
    <row r="31" spans="2:11" x14ac:dyDescent="0.25">
      <c r="D31" s="1" t="s">
        <v>101</v>
      </c>
      <c r="E31" s="1" t="s">
        <v>68</v>
      </c>
      <c r="F31" s="25">
        <v>63454.8</v>
      </c>
      <c r="G31" s="25">
        <v>25772.400000000001</v>
      </c>
      <c r="H31" s="25">
        <v>46171.6</v>
      </c>
      <c r="I31" s="25">
        <v>1169.2</v>
      </c>
      <c r="J31" s="25">
        <v>898</v>
      </c>
      <c r="K31" s="25">
        <v>970</v>
      </c>
    </row>
    <row r="32" spans="2:11" x14ac:dyDescent="0.25">
      <c r="D32" s="1" t="s">
        <v>102</v>
      </c>
      <c r="E32" s="1" t="s">
        <v>69</v>
      </c>
      <c r="F32" s="25">
        <v>183509.6</v>
      </c>
      <c r="G32" s="25" t="s">
        <v>113</v>
      </c>
      <c r="H32" s="25">
        <v>4142.3999999999996</v>
      </c>
      <c r="I32" s="25">
        <v>465.6</v>
      </c>
      <c r="J32" s="25" t="s">
        <v>113</v>
      </c>
      <c r="K32" s="25">
        <v>408.8</v>
      </c>
    </row>
    <row r="33" spans="4:11" x14ac:dyDescent="0.25">
      <c r="D33" s="1" t="s">
        <v>103</v>
      </c>
      <c r="E33" s="1" t="s">
        <v>70</v>
      </c>
      <c r="F33" s="25">
        <v>158803.6</v>
      </c>
      <c r="G33" s="25">
        <v>34162.800000000003</v>
      </c>
      <c r="H33" s="25">
        <v>47282</v>
      </c>
      <c r="I33" s="25">
        <v>898.8</v>
      </c>
      <c r="J33" s="25">
        <v>948</v>
      </c>
      <c r="K33" s="25">
        <v>2156.8000000000002</v>
      </c>
    </row>
    <row r="34" spans="4:11" x14ac:dyDescent="0.25">
      <c r="D34" s="1" t="s">
        <v>104</v>
      </c>
      <c r="E34" s="1" t="s">
        <v>71</v>
      </c>
      <c r="F34" s="25">
        <v>75744</v>
      </c>
      <c r="G34" s="25">
        <v>25441.200000000001</v>
      </c>
      <c r="H34" s="25">
        <v>16563.2</v>
      </c>
      <c r="I34" s="25">
        <v>1096.4000000000001</v>
      </c>
      <c r="J34" s="25">
        <v>941.2</v>
      </c>
      <c r="K34" s="25">
        <v>1106.8</v>
      </c>
    </row>
    <row r="35" spans="4:11" x14ac:dyDescent="0.25">
      <c r="D35" s="1" t="s">
        <v>105</v>
      </c>
      <c r="E35" s="1" t="s">
        <v>72</v>
      </c>
      <c r="F35" s="25">
        <v>184038</v>
      </c>
      <c r="G35" s="25" t="s">
        <v>113</v>
      </c>
      <c r="H35" s="25">
        <v>4618.3999999999996</v>
      </c>
      <c r="I35" s="25">
        <v>387.6</v>
      </c>
      <c r="J35" s="25" t="s">
        <v>113</v>
      </c>
      <c r="K35" s="25">
        <v>388.4</v>
      </c>
    </row>
    <row r="37" spans="4:11" x14ac:dyDescent="0.25">
      <c r="E37" s="4"/>
      <c r="F37" s="4"/>
      <c r="G37" s="4"/>
      <c r="H37" s="4"/>
      <c r="I37" s="4"/>
      <c r="J37" s="4"/>
      <c r="K37" s="4"/>
    </row>
    <row r="38" spans="4:11" ht="15.75" thickBot="1" x14ac:dyDescent="0.3">
      <c r="E38" s="4"/>
      <c r="F38" s="10" t="s">
        <v>32</v>
      </c>
      <c r="G38" s="10" t="s">
        <v>33</v>
      </c>
      <c r="H38" s="10" t="s">
        <v>34</v>
      </c>
      <c r="I38" s="10" t="s">
        <v>35</v>
      </c>
      <c r="J38" s="10" t="s">
        <v>36</v>
      </c>
      <c r="K38" s="10" t="s">
        <v>37</v>
      </c>
    </row>
    <row r="39" spans="4:11" ht="15.75" thickTop="1" x14ac:dyDescent="0.25">
      <c r="E39" s="12" t="s">
        <v>38</v>
      </c>
      <c r="F39" s="8">
        <v>637.5</v>
      </c>
      <c r="G39" s="8">
        <v>1000</v>
      </c>
      <c r="H39" s="8">
        <v>337.5</v>
      </c>
      <c r="I39" s="8">
        <v>30</v>
      </c>
      <c r="J39" s="8">
        <v>69.75</v>
      </c>
      <c r="K39" s="13">
        <v>60</v>
      </c>
    </row>
    <row r="40" spans="4:11" ht="15.75" thickBot="1" x14ac:dyDescent="0.3">
      <c r="E40" s="14" t="s">
        <v>39</v>
      </c>
      <c r="F40" s="9">
        <v>425000</v>
      </c>
      <c r="G40" s="9">
        <v>200000</v>
      </c>
      <c r="H40" s="9">
        <v>225000</v>
      </c>
      <c r="I40" s="9">
        <v>20000</v>
      </c>
      <c r="J40" s="9">
        <v>46500</v>
      </c>
      <c r="K40" s="15">
        <v>12000</v>
      </c>
    </row>
    <row r="41" spans="4:11" ht="15.75" thickTop="1" x14ac:dyDescent="0.25"/>
  </sheetData>
  <mergeCells count="1">
    <mergeCell ref="F1:K1"/>
  </mergeCells>
  <conditionalFormatting sqref="E2">
    <cfRule type="cellIs" dxfId="4" priority="5" operator="equal">
      <formula>0</formula>
    </cfRule>
  </conditionalFormatting>
  <conditionalFormatting sqref="E2:K35">
    <cfRule type="cellIs" dxfId="3" priority="4" operator="equal">
      <formula>0</formula>
    </cfRule>
  </conditionalFormatting>
  <conditionalFormatting sqref="F3:K35">
    <cfRule type="containsText" dxfId="2" priority="1" operator="containsText" text="&gt; ULOQ">
      <formula>NOT(ISERROR(SEARCH("&gt; ULOQ",F3)))</formula>
    </cfRule>
    <cfRule type="containsText" dxfId="1" priority="2" operator="containsText" text="&lt; LLOQ">
      <formula>NOT(ISERROR(SEARCH("&lt; LLOQ",F3)))</formula>
    </cfRule>
  </conditionalFormatting>
  <conditionalFormatting sqref="F38:K38">
    <cfRule type="cellIs" dxfId="0" priority="3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9997-837F-412B-B6B4-57CFD5EF386F}">
  <sheetPr codeName="Feuil12">
    <tabColor rgb="FF00B050"/>
  </sheetPr>
  <dimension ref="B5:Q16"/>
  <sheetViews>
    <sheetView topLeftCell="B1" workbookViewId="0">
      <selection activeCell="Q9" sqref="Q9:Q14"/>
    </sheetView>
  </sheetViews>
  <sheetFormatPr defaultColWidth="11.42578125" defaultRowHeight="15" x14ac:dyDescent="0.25"/>
  <cols>
    <col min="2" max="2" width="14.28515625" bestFit="1" customWidth="1"/>
    <col min="3" max="4" width="19.28515625" customWidth="1"/>
    <col min="5" max="5" width="9.140625" customWidth="1"/>
    <col min="6" max="6" width="19.28515625" customWidth="1"/>
    <col min="7" max="7" width="9.140625" customWidth="1"/>
    <col min="8" max="9" width="19.28515625" customWidth="1"/>
    <col min="10" max="10" width="9.140625" customWidth="1"/>
    <col min="11" max="11" width="19.28515625" customWidth="1"/>
    <col min="12" max="12" width="9.140625" customWidth="1"/>
    <col min="13" max="14" width="19.28515625" customWidth="1"/>
    <col min="15" max="15" width="9.140625" customWidth="1"/>
    <col min="16" max="16" width="19.28515625" customWidth="1"/>
    <col min="17" max="17" width="9.140625" customWidth="1"/>
  </cols>
  <sheetData>
    <row r="5" spans="2:17" ht="15.75" thickBot="1" x14ac:dyDescent="0.3"/>
    <row r="6" spans="2:17" ht="15.75" thickTop="1" x14ac:dyDescent="0.25">
      <c r="B6" s="4"/>
      <c r="C6" s="29" t="s">
        <v>6</v>
      </c>
      <c r="D6" s="30"/>
      <c r="E6" s="30"/>
      <c r="F6" s="30"/>
      <c r="G6" s="31"/>
      <c r="H6" s="29" t="s">
        <v>12</v>
      </c>
      <c r="I6" s="30"/>
      <c r="J6" s="30"/>
      <c r="K6" s="30"/>
      <c r="L6" s="31"/>
      <c r="M6" s="29" t="s">
        <v>13</v>
      </c>
      <c r="N6" s="30"/>
      <c r="O6" s="30"/>
      <c r="P6" s="30"/>
      <c r="Q6" s="31"/>
    </row>
    <row r="7" spans="2:17" x14ac:dyDescent="0.25">
      <c r="B7" s="4"/>
      <c r="C7" s="32" t="s">
        <v>7</v>
      </c>
      <c r="D7" s="27" t="s">
        <v>8</v>
      </c>
      <c r="E7" s="27"/>
      <c r="F7" s="27" t="s">
        <v>9</v>
      </c>
      <c r="G7" s="28"/>
      <c r="H7" s="32" t="s">
        <v>7</v>
      </c>
      <c r="I7" s="27" t="s">
        <v>8</v>
      </c>
      <c r="J7" s="27"/>
      <c r="K7" s="27" t="s">
        <v>9</v>
      </c>
      <c r="L7" s="28"/>
      <c r="M7" s="32" t="s">
        <v>7</v>
      </c>
      <c r="N7" s="27" t="s">
        <v>8</v>
      </c>
      <c r="O7" s="27"/>
      <c r="P7" s="27" t="s">
        <v>9</v>
      </c>
      <c r="Q7" s="28"/>
    </row>
    <row r="8" spans="2:17" ht="30" x14ac:dyDescent="0.25">
      <c r="B8" s="4"/>
      <c r="C8" s="32"/>
      <c r="D8" s="16" t="s">
        <v>10</v>
      </c>
      <c r="E8" s="17" t="s">
        <v>11</v>
      </c>
      <c r="F8" s="16" t="s">
        <v>10</v>
      </c>
      <c r="G8" s="18" t="s">
        <v>11</v>
      </c>
      <c r="H8" s="32"/>
      <c r="I8" s="16" t="s">
        <v>10</v>
      </c>
      <c r="J8" s="17" t="s">
        <v>11</v>
      </c>
      <c r="K8" s="16" t="s">
        <v>10</v>
      </c>
      <c r="L8" s="18" t="s">
        <v>11</v>
      </c>
      <c r="M8" s="32"/>
      <c r="N8" s="16" t="s">
        <v>10</v>
      </c>
      <c r="O8" s="17" t="s">
        <v>11</v>
      </c>
      <c r="P8" s="16" t="s">
        <v>10</v>
      </c>
      <c r="Q8" s="18" t="s">
        <v>11</v>
      </c>
    </row>
    <row r="9" spans="2:17" x14ac:dyDescent="0.25">
      <c r="B9" s="19" t="s">
        <v>0</v>
      </c>
      <c r="C9" s="20">
        <v>17000</v>
      </c>
      <c r="D9" s="21">
        <v>19489.5</v>
      </c>
      <c r="E9" s="21">
        <v>14.6</v>
      </c>
      <c r="F9" s="21">
        <v>19360.7</v>
      </c>
      <c r="G9" s="22">
        <v>13.9</v>
      </c>
      <c r="H9" s="20">
        <v>170000</v>
      </c>
      <c r="I9" s="21">
        <v>171764.1</v>
      </c>
      <c r="J9" s="21">
        <v>1</v>
      </c>
      <c r="K9" s="21">
        <v>169109.5</v>
      </c>
      <c r="L9" s="22">
        <v>-0.5</v>
      </c>
      <c r="M9" s="20">
        <v>340000</v>
      </c>
      <c r="N9" s="21">
        <v>337192.3</v>
      </c>
      <c r="O9" s="21">
        <v>-0.8</v>
      </c>
      <c r="P9" s="21">
        <v>371494</v>
      </c>
      <c r="Q9" s="22">
        <v>9.3000000000000007</v>
      </c>
    </row>
    <row r="10" spans="2:17" x14ac:dyDescent="0.25">
      <c r="B10" s="19" t="s">
        <v>1</v>
      </c>
      <c r="C10" s="20">
        <v>8000</v>
      </c>
      <c r="D10" s="21">
        <v>8445.7999999999993</v>
      </c>
      <c r="E10" s="21">
        <v>5.6</v>
      </c>
      <c r="F10" s="21">
        <v>8801.2000000000007</v>
      </c>
      <c r="G10" s="22">
        <v>10</v>
      </c>
      <c r="H10" s="20">
        <v>80000</v>
      </c>
      <c r="I10" s="21">
        <v>83793.2</v>
      </c>
      <c r="J10" s="21">
        <v>4.7</v>
      </c>
      <c r="K10" s="21">
        <v>79645.2</v>
      </c>
      <c r="L10" s="22">
        <v>-0.4</v>
      </c>
      <c r="M10" s="20">
        <v>160000</v>
      </c>
      <c r="N10" s="21">
        <v>158917.20000000001</v>
      </c>
      <c r="O10" s="21">
        <v>-0.7</v>
      </c>
      <c r="P10" s="21">
        <v>166774</v>
      </c>
      <c r="Q10" s="22">
        <v>4.2</v>
      </c>
    </row>
    <row r="11" spans="2:17" x14ac:dyDescent="0.25">
      <c r="B11" s="19" t="s">
        <v>2</v>
      </c>
      <c r="C11" s="20">
        <v>9000</v>
      </c>
      <c r="D11" s="21">
        <v>9831.9</v>
      </c>
      <c r="E11" s="21">
        <v>9.1999999999999993</v>
      </c>
      <c r="F11" s="21">
        <v>9831.9</v>
      </c>
      <c r="G11" s="22">
        <v>9.1999999999999993</v>
      </c>
      <c r="H11" s="20">
        <v>90000</v>
      </c>
      <c r="I11" s="21">
        <v>89794.4</v>
      </c>
      <c r="J11" s="21">
        <v>-0.2</v>
      </c>
      <c r="K11" s="21">
        <v>96275.8</v>
      </c>
      <c r="L11" s="22">
        <v>7</v>
      </c>
      <c r="M11" s="20">
        <v>180000</v>
      </c>
      <c r="N11" s="21">
        <v>178599.8</v>
      </c>
      <c r="O11" s="21">
        <v>-0.8</v>
      </c>
      <c r="P11" s="21">
        <v>200937.5</v>
      </c>
      <c r="Q11" s="22">
        <v>11.6</v>
      </c>
    </row>
    <row r="12" spans="2:17" x14ac:dyDescent="0.25">
      <c r="B12" s="19" t="s">
        <v>3</v>
      </c>
      <c r="C12" s="20">
        <v>800</v>
      </c>
      <c r="D12" s="21">
        <v>910.7</v>
      </c>
      <c r="E12" s="21">
        <v>13.8</v>
      </c>
      <c r="F12" s="21">
        <v>889.2</v>
      </c>
      <c r="G12" s="22">
        <v>11.2</v>
      </c>
      <c r="H12" s="20">
        <v>8000</v>
      </c>
      <c r="I12" s="21">
        <v>8083</v>
      </c>
      <c r="J12" s="21">
        <v>1</v>
      </c>
      <c r="K12" s="21">
        <v>8686.6</v>
      </c>
      <c r="L12" s="22">
        <v>8.6</v>
      </c>
      <c r="M12" s="20">
        <v>16000</v>
      </c>
      <c r="N12" s="21">
        <v>16703.7</v>
      </c>
      <c r="O12" s="21">
        <v>4.4000000000000004</v>
      </c>
      <c r="P12" s="21">
        <v>18311.5</v>
      </c>
      <c r="Q12" s="22">
        <v>14.4</v>
      </c>
    </row>
    <row r="13" spans="2:17" x14ac:dyDescent="0.25">
      <c r="B13" s="19" t="s">
        <v>4</v>
      </c>
      <c r="C13" s="20">
        <v>1860</v>
      </c>
      <c r="D13" s="21">
        <v>2130.3000000000002</v>
      </c>
      <c r="E13" s="21">
        <v>14.5</v>
      </c>
      <c r="F13" s="21">
        <v>2078.6999999999998</v>
      </c>
      <c r="G13" s="22">
        <v>11.8</v>
      </c>
      <c r="H13" s="20">
        <v>18600</v>
      </c>
      <c r="I13" s="21">
        <v>19202.8</v>
      </c>
      <c r="J13" s="21">
        <v>3.2</v>
      </c>
      <c r="K13" s="21">
        <v>20136.099999999999</v>
      </c>
      <c r="L13" s="22">
        <v>8.3000000000000007</v>
      </c>
      <c r="M13" s="20">
        <v>37200</v>
      </c>
      <c r="N13" s="21">
        <v>37108.5</v>
      </c>
      <c r="O13" s="21">
        <v>-0.2</v>
      </c>
      <c r="P13" s="21">
        <v>40810.699999999997</v>
      </c>
      <c r="Q13" s="22">
        <v>9.6999999999999993</v>
      </c>
    </row>
    <row r="14" spans="2:17" ht="15.75" thickBot="1" x14ac:dyDescent="0.3">
      <c r="B14" s="19" t="s">
        <v>5</v>
      </c>
      <c r="C14" s="14">
        <v>480</v>
      </c>
      <c r="D14" s="23">
        <v>550.9</v>
      </c>
      <c r="E14" s="23">
        <v>14.8</v>
      </c>
      <c r="F14" s="23">
        <v>544.5</v>
      </c>
      <c r="G14" s="24">
        <v>13.4</v>
      </c>
      <c r="H14" s="14">
        <v>4800</v>
      </c>
      <c r="I14" s="23">
        <v>4585.3999999999996</v>
      </c>
      <c r="J14" s="23">
        <v>-4.5</v>
      </c>
      <c r="K14" s="23">
        <v>5426.7</v>
      </c>
      <c r="L14" s="24">
        <v>13.1</v>
      </c>
      <c r="M14" s="14">
        <v>9600</v>
      </c>
      <c r="N14" s="23">
        <v>8952.7000000000007</v>
      </c>
      <c r="O14" s="23">
        <v>-6.7</v>
      </c>
      <c r="P14" s="23">
        <v>10987.5</v>
      </c>
      <c r="Q14" s="24">
        <v>14.5</v>
      </c>
    </row>
    <row r="15" spans="2:17" ht="15.75" thickTop="1" x14ac:dyDescent="0.25">
      <c r="B15" s="4"/>
      <c r="C15" s="4"/>
      <c r="D15" s="4"/>
      <c r="E15" s="4"/>
      <c r="F15" s="4"/>
      <c r="G15" s="4"/>
    </row>
    <row r="16" spans="2:17" x14ac:dyDescent="0.25">
      <c r="B16" s="4"/>
    </row>
  </sheetData>
  <mergeCells count="12">
    <mergeCell ref="N7:O7"/>
    <mergeCell ref="P7:Q7"/>
    <mergeCell ref="C6:G6"/>
    <mergeCell ref="H6:L6"/>
    <mergeCell ref="M6:Q6"/>
    <mergeCell ref="C7:C8"/>
    <mergeCell ref="D7:E7"/>
    <mergeCell ref="F7:G7"/>
    <mergeCell ref="H7:H8"/>
    <mergeCell ref="I7:J7"/>
    <mergeCell ref="K7:L7"/>
    <mergeCell ref="M7: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D0DE-09E9-4CB0-A72E-3374F89FB328}">
  <sheetPr codeName="Feuil13">
    <tabColor rgb="FF00B050"/>
  </sheetPr>
  <dimension ref="B3:N11"/>
  <sheetViews>
    <sheetView workbookViewId="0">
      <selection activeCell="G17" sqref="G17"/>
    </sheetView>
  </sheetViews>
  <sheetFormatPr defaultColWidth="11.42578125" defaultRowHeight="15" x14ac:dyDescent="0.25"/>
  <cols>
    <col min="6" max="6" width="13.85546875" bestFit="1" customWidth="1"/>
    <col min="10" max="10" width="10.140625" bestFit="1" customWidth="1"/>
    <col min="11" max="11" width="13.85546875" bestFit="1" customWidth="1"/>
    <col min="12" max="12" width="10.7109375" bestFit="1" customWidth="1"/>
  </cols>
  <sheetData>
    <row r="3" spans="2:14" ht="24.75" customHeight="1" x14ac:dyDescent="0.25">
      <c r="B3" s="1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</row>
    <row r="4" spans="2:14" ht="24.75" customHeight="1" x14ac:dyDescent="0.25">
      <c r="B4" s="5" t="s">
        <v>14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7" t="s">
        <v>29</v>
      </c>
      <c r="K4" s="7" t="s">
        <v>30</v>
      </c>
      <c r="L4" s="7" t="s">
        <v>31</v>
      </c>
      <c r="M4" s="1"/>
      <c r="N4" s="1"/>
    </row>
    <row r="5" spans="2:14" ht="24.75" customHeight="1" x14ac:dyDescent="0.25">
      <c r="B5" s="5" t="s">
        <v>15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</row>
    <row r="6" spans="2:14" ht="24.75" customHeight="1" x14ac:dyDescent="0.25">
      <c r="B6" s="5" t="s">
        <v>16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62</v>
      </c>
      <c r="N6" s="1" t="s">
        <v>63</v>
      </c>
    </row>
    <row r="7" spans="2:14" ht="24.75" customHeight="1" x14ac:dyDescent="0.25">
      <c r="B7" s="5" t="s">
        <v>17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33" t="s">
        <v>112</v>
      </c>
      <c r="M7" s="34"/>
      <c r="N7" s="35"/>
    </row>
    <row r="8" spans="2:14" ht="24.75" customHeight="1" x14ac:dyDescent="0.25">
      <c r="B8" s="5" t="s">
        <v>18</v>
      </c>
      <c r="C8" s="33" t="s">
        <v>112</v>
      </c>
      <c r="D8" s="34"/>
      <c r="E8" s="7" t="s">
        <v>109</v>
      </c>
      <c r="F8" s="7" t="s">
        <v>110</v>
      </c>
      <c r="G8" s="7" t="s">
        <v>111</v>
      </c>
      <c r="H8" s="1"/>
      <c r="I8" s="1"/>
      <c r="J8" s="1"/>
      <c r="K8" s="1"/>
      <c r="L8" s="1"/>
      <c r="M8" s="1"/>
      <c r="N8" s="1"/>
    </row>
    <row r="9" spans="2:14" ht="24.75" customHeight="1" x14ac:dyDescent="0.25">
      <c r="B9" s="5" t="s">
        <v>19</v>
      </c>
      <c r="C9" s="33" t="s">
        <v>112</v>
      </c>
      <c r="D9" s="34"/>
      <c r="E9" s="34"/>
      <c r="F9" s="34"/>
      <c r="G9" s="34"/>
      <c r="H9" s="35"/>
      <c r="I9" s="1"/>
      <c r="J9" s="1"/>
      <c r="K9" s="1"/>
      <c r="L9" s="1"/>
      <c r="M9" s="1"/>
      <c r="N9" s="1"/>
    </row>
    <row r="10" spans="2:14" ht="24.75" customHeight="1" x14ac:dyDescent="0.25">
      <c r="B10" s="5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4.75" customHeight="1" x14ac:dyDescent="0.25">
      <c r="B11" s="5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3">
    <mergeCell ref="L7:N7"/>
    <mergeCell ref="C8:D8"/>
    <mergeCell ref="C9:H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 set</vt:lpstr>
      <vt:lpstr>Quality Control</vt:lpstr>
      <vt:lpstr>Plate Map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Monteiro</dc:creator>
  <cp:lastModifiedBy>Rodrigo Formiga</cp:lastModifiedBy>
  <dcterms:created xsi:type="dcterms:W3CDTF">2024-11-18T12:55:51Z</dcterms:created>
  <dcterms:modified xsi:type="dcterms:W3CDTF">2025-01-21T12:10:11Z</dcterms:modified>
</cp:coreProperties>
</file>