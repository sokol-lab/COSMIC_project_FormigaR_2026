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rigo Formiga\Downloads\"/>
    </mc:Choice>
  </mc:AlternateContent>
  <xr:revisionPtr revIDLastSave="0" documentId="13_ncr:1_{23A6F252-9E74-4242-9178-2083DD194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sation_Data set Client" sheetId="5" r:id="rId1"/>
    <sheet name="Quality Control" sheetId="6" r:id="rId2"/>
    <sheet name="Plate Map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<sst xmlns="http://schemas.openxmlformats.org/spreadsheetml/2006/main" count="568" uniqueCount="153">
  <si>
    <t>Picolinic acid</t>
  </si>
  <si>
    <t>Quinolinic acid</t>
  </si>
  <si>
    <t>3-OH-Kynurenine</t>
  </si>
  <si>
    <t>Serotonine</t>
  </si>
  <si>
    <t>5-OH-Tryptophane</t>
  </si>
  <si>
    <t>Kynurenine</t>
  </si>
  <si>
    <t>3-OH-Anthranilic acid</t>
  </si>
  <si>
    <t>Tryptamine</t>
  </si>
  <si>
    <t>Tryptophane</t>
  </si>
  <si>
    <t>5-OH-Indole acetic acid</t>
  </si>
  <si>
    <t>Indole-3-Sulfate</t>
  </si>
  <si>
    <t>N-acetyl-serotonine</t>
  </si>
  <si>
    <t>Xanthurenic acid</t>
  </si>
  <si>
    <t>Indole-3-acetamide</t>
  </si>
  <si>
    <t>Kynurenic acid</t>
  </si>
  <si>
    <t>Indole-3-Lactic acid</t>
  </si>
  <si>
    <t>Indole-3-Aldehyde</t>
  </si>
  <si>
    <t>Indole-3-Acetic acid</t>
  </si>
  <si>
    <t>Tryptophol</t>
  </si>
  <si>
    <t>Melatonine</t>
  </si>
  <si>
    <t>Indole-3-propionic acid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</si>
  <si>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</si>
  <si>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</si>
  <si>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</si>
  <si>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</si>
  <si>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</si>
  <si>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</si>
  <si>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</si>
  <si>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</si>
  <si>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</si>
  <si>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</si>
  <si>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</si>
  <si>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</si>
  <si>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</si>
  <si>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</si>
  <si>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</si>
  <si>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</si>
  <si>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</si>
  <si>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</si>
  <si>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Low Level QC</t>
  </si>
  <si>
    <t>Medium Level QC</t>
  </si>
  <si>
    <t>High Level QC</t>
  </si>
  <si>
    <t>Theorical Concentrations (nM)</t>
  </si>
  <si>
    <t>Beginning of the batch</t>
  </si>
  <si>
    <t>End of the batch</t>
  </si>
  <si>
    <t>Calculated Concentrations (nM)</t>
  </si>
  <si>
    <t>% Diff</t>
  </si>
  <si>
    <t>Batch_1</t>
  </si>
  <si>
    <t>Batch_Dilution</t>
  </si>
  <si>
    <t>Zone Quanti</t>
  </si>
  <si>
    <t>LLOQ (nM)</t>
  </si>
  <si>
    <t>ULOQ (nM)</t>
  </si>
  <si>
    <t>Concentration calculée (nM)</t>
  </si>
  <si>
    <t>Sample ID Tours</t>
  </si>
  <si>
    <t>2024_3298</t>
  </si>
  <si>
    <t>2024_3299</t>
  </si>
  <si>
    <t>2024_3300</t>
  </si>
  <si>
    <t>2024_3301</t>
  </si>
  <si>
    <t>2024_3302</t>
  </si>
  <si>
    <t>2024_3303</t>
  </si>
  <si>
    <t>2024_3304</t>
  </si>
  <si>
    <t>2024_3305</t>
  </si>
  <si>
    <t>2024_3306</t>
  </si>
  <si>
    <t>2024_3307</t>
  </si>
  <si>
    <t>2024_3308</t>
  </si>
  <si>
    <t>2024_3309</t>
  </si>
  <si>
    <t>2024_3310</t>
  </si>
  <si>
    <t>2024_3311</t>
  </si>
  <si>
    <t>2024_3312</t>
  </si>
  <si>
    <t>2024_3313</t>
  </si>
  <si>
    <t>2024_3314</t>
  </si>
  <si>
    <t>2024_3315</t>
  </si>
  <si>
    <t>2024_3316</t>
  </si>
  <si>
    <t>2024_3317</t>
  </si>
  <si>
    <t>2024_3318</t>
  </si>
  <si>
    <t>2024_3319</t>
  </si>
  <si>
    <t>2024_3320</t>
  </si>
  <si>
    <t>2024_3321</t>
  </si>
  <si>
    <t>2024_3322</t>
  </si>
  <si>
    <t>2024_3323</t>
  </si>
  <si>
    <t>2024_3324</t>
  </si>
  <si>
    <t>2024_3325</t>
  </si>
  <si>
    <t>2024_3326</t>
  </si>
  <si>
    <t>2024_3327</t>
  </si>
  <si>
    <t>2024_3328</t>
  </si>
  <si>
    <t>2024_3329</t>
  </si>
  <si>
    <t>2024_3330</t>
  </si>
  <si>
    <t>0058-A-B 08/06/2023</t>
  </si>
  <si>
    <t>0058 A-B 02/08/2023</t>
  </si>
  <si>
    <t>0059 B-M 18/07/2023</t>
  </si>
  <si>
    <t>0059 B-M 20/09/2023</t>
  </si>
  <si>
    <t>0061 S-C 03/08/2023</t>
  </si>
  <si>
    <t>0061 S-C 18/10/2023</t>
  </si>
  <si>
    <t>0062 D-J 04/08/2023</t>
  </si>
  <si>
    <t>0062 D-J 18/10/2023</t>
  </si>
  <si>
    <t>0064 M-J 05/09/2023</t>
  </si>
  <si>
    <t>0064 M-J 20/11/2023</t>
  </si>
  <si>
    <t>0067 H-S 02/01/2024</t>
  </si>
  <si>
    <t>0067 H-S 04/03/2024</t>
  </si>
  <si>
    <t>0068 B-G 04/01/2024</t>
  </si>
  <si>
    <t>0068 B-G 22/04/2024</t>
  </si>
  <si>
    <t>0070 R-S 09/01/2024</t>
  </si>
  <si>
    <t>0070 R-S 19/03/2024</t>
  </si>
  <si>
    <t>0071 G-E 17/01/2024</t>
  </si>
  <si>
    <t>0071 G-E 06/05/2024</t>
  </si>
  <si>
    <t>0073 L-P 06/02/2024</t>
  </si>
  <si>
    <t>0073 L-P 09/04/2024</t>
  </si>
  <si>
    <t>0075 L-M 20/03/2024</t>
  </si>
  <si>
    <t>0075 L-M 10/06/2024</t>
  </si>
  <si>
    <t>HD1 0806</t>
  </si>
  <si>
    <t>HD2 1405</t>
  </si>
  <si>
    <t>HD3 1303</t>
  </si>
  <si>
    <t>HD4 0408</t>
  </si>
  <si>
    <t>HD5 0509</t>
  </si>
  <si>
    <t>HD6 0201</t>
  </si>
  <si>
    <t>HD7 0401</t>
  </si>
  <si>
    <t>HD8 0401</t>
  </si>
  <si>
    <t>HD9 0901</t>
  </si>
  <si>
    <t>HD10 2201</t>
  </si>
  <si>
    <t>HD11 0602</t>
  </si>
  <si>
    <t>Sample ID</t>
  </si>
  <si>
    <t>Comments</t>
  </si>
  <si>
    <t>Dilution protocol : Indole-3-propionic acid</t>
  </si>
  <si>
    <t>QC_Low_2</t>
  </si>
  <si>
    <t>QC_Medium_2</t>
  </si>
  <si>
    <t>QC_High_2</t>
  </si>
  <si>
    <t>Diluted Sample 2024_3325</t>
  </si>
  <si>
    <t>Diluted Sample 2024_3326</t>
  </si>
  <si>
    <t>&lt; LLOQ</t>
  </si>
  <si>
    <t>Cosmic 27</t>
  </si>
  <si>
    <t>Cosmic 31</t>
  </si>
  <si>
    <t>Cosmic 52</t>
  </si>
  <si>
    <t>Cosmic 41</t>
  </si>
  <si>
    <t>Cosmic 45</t>
  </si>
  <si>
    <t>Cosmic 29</t>
  </si>
  <si>
    <t>Cosmic 36</t>
  </si>
  <si>
    <t>Cosmic 57</t>
  </si>
  <si>
    <t>Cosmic 9</t>
  </si>
  <si>
    <t>Before FMT</t>
  </si>
  <si>
    <t>After FMT</t>
  </si>
  <si>
    <t>Cosmic 32</t>
  </si>
  <si>
    <t>Cosmic 39</t>
  </si>
  <si>
    <t>Cosmic 40</t>
  </si>
  <si>
    <t>Cosmic 34</t>
  </si>
  <si>
    <t>Cosmic 35</t>
  </si>
  <si>
    <t>Cosmic 48</t>
  </si>
  <si>
    <t>Cosmic 53</t>
  </si>
  <si>
    <t>Cosmic 46</t>
  </si>
  <si>
    <t>Cosmic 54</t>
  </si>
  <si>
    <t>Cosmic 58</t>
  </si>
  <si>
    <t>Cosmic 60</t>
  </si>
  <si>
    <t>Cosmic 51</t>
  </si>
  <si>
    <t>Cosmic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</si>
</sst>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5" borderId="5" xfId="0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2">
    <cellStyle name="Normal" xfId="0" builtinId="0"/>
    <cellStyle name="Normal 4" xfId="1" xr:uid="{70686BE6-A663-481C-9103-4DA08356F6D9}"/>
  </cellStyles>
  <dxfs count="9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theme="1"/>
      </font>
      <fill>
        <patternFill>
          <fgColor indexed="64"/>
          <bgColor theme="8" tint="0.59996337778862885"/>
        </patternFill>
      </fill>
    </dxf>
    <dxf>
      <font>
        <color auto="1"/>
      </font>
      <fill>
        <patternFill>
          <fgColor indexed="64"/>
          <bgColor theme="5" tint="0.59996337778862885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59AF-7736-45C0-AC68-81B7C7DC6E96}">
  <sheetPr codeName="Feuil5">
    <tabColor rgb="FF00B050"/>
  </sheetPr>
  <dimension ref="A1:Y41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6" sqref="C6"/>
    </sheetView>
  </sheetViews>
  <sheetFormatPr defaultColWidth="11.42578125" defaultRowHeight="15" x14ac:dyDescent="0.25"/>
  <cols>
    <col min="1" max="1" width="13" style="46" customWidth="1"/>
    <col min="2" max="2" width="17" customWidth="1"/>
    <col min="3" max="3" width="29.5703125" customWidth="1"/>
    <col min="4" max="4" width="15.140625" bestFit="1" customWidth="1"/>
    <col min="5" max="5" width="13.7109375" customWidth="1"/>
    <col min="6" max="6" width="13.7109375" style="7" customWidth="1"/>
    <col min="7" max="10" width="13.5703125" style="7" customWidth="1"/>
    <col min="11" max="11" width="14.7109375" style="7" customWidth="1"/>
    <col min="12" max="25" width="13.5703125" style="7" customWidth="1"/>
  </cols>
  <sheetData>
    <row r="1" spans="1:25" ht="33.75" customHeight="1" x14ac:dyDescent="0.25">
      <c r="E1" s="32" t="s">
        <v>52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45" x14ac:dyDescent="0.25">
      <c r="A2" s="45"/>
      <c r="B2" s="1" t="s">
        <v>121</v>
      </c>
      <c r="C2" s="1" t="s">
        <v>120</v>
      </c>
      <c r="D2" s="1" t="s">
        <v>53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15</v>
      </c>
      <c r="U2" s="6" t="s">
        <v>16</v>
      </c>
      <c r="V2" s="6" t="s">
        <v>17</v>
      </c>
      <c r="W2" s="6" t="s">
        <v>18</v>
      </c>
      <c r="X2" s="6" t="s">
        <v>19</v>
      </c>
      <c r="Y2" s="6" t="s">
        <v>20</v>
      </c>
    </row>
    <row r="3" spans="1:25" x14ac:dyDescent="0.25">
      <c r="A3" s="47" t="s">
        <v>138</v>
      </c>
      <c r="B3" s="47" t="s">
        <v>129</v>
      </c>
      <c r="C3" s="1" t="s">
        <v>87</v>
      </c>
      <c r="D3" s="1" t="s">
        <v>54</v>
      </c>
      <c r="E3" s="5" t="s">
        <v>128</v>
      </c>
      <c r="F3" s="5">
        <v>262.06099999999998</v>
      </c>
      <c r="G3" s="5" t="s">
        <v>128</v>
      </c>
      <c r="H3" s="5" t="s">
        <v>128</v>
      </c>
      <c r="I3" s="5">
        <v>4.3929999999999998</v>
      </c>
      <c r="J3" s="5">
        <v>1355.7059999999999</v>
      </c>
      <c r="K3" s="5">
        <v>59.186</v>
      </c>
      <c r="L3" s="5" t="s">
        <v>128</v>
      </c>
      <c r="M3" s="5">
        <v>66920.807000000001</v>
      </c>
      <c r="N3" s="5">
        <v>11.984</v>
      </c>
      <c r="O3" s="5">
        <v>1207.5619999999999</v>
      </c>
      <c r="P3" s="5" t="s">
        <v>128</v>
      </c>
      <c r="Q3" s="5">
        <v>12.147</v>
      </c>
      <c r="R3" s="5" t="s">
        <v>128</v>
      </c>
      <c r="S3" s="5">
        <v>14.048999999999999</v>
      </c>
      <c r="T3" s="5">
        <v>750.73699999999997</v>
      </c>
      <c r="U3" s="5">
        <v>20.347000000000001</v>
      </c>
      <c r="V3" s="5">
        <v>760.92600000000004</v>
      </c>
      <c r="W3" s="5" t="s">
        <v>128</v>
      </c>
      <c r="X3" s="5" t="s">
        <v>128</v>
      </c>
      <c r="Y3" s="5" t="s">
        <v>128</v>
      </c>
    </row>
    <row r="4" spans="1:25" x14ac:dyDescent="0.25">
      <c r="A4" s="48" t="s">
        <v>139</v>
      </c>
      <c r="B4" s="48" t="s">
        <v>130</v>
      </c>
      <c r="C4" s="1" t="s">
        <v>88</v>
      </c>
      <c r="D4" s="1" t="s">
        <v>55</v>
      </c>
      <c r="E4" s="5">
        <v>19.452999999999999</v>
      </c>
      <c r="F4" s="5">
        <v>333.233</v>
      </c>
      <c r="G4" s="5">
        <v>42.427999999999997</v>
      </c>
      <c r="H4" s="5" t="s">
        <v>128</v>
      </c>
      <c r="I4" s="5">
        <v>7.2910000000000004</v>
      </c>
      <c r="J4" s="5">
        <v>1239.6110000000001</v>
      </c>
      <c r="K4" s="5">
        <v>180.10400000000001</v>
      </c>
      <c r="L4" s="5" t="s">
        <v>128</v>
      </c>
      <c r="M4" s="5">
        <v>86895.463000000003</v>
      </c>
      <c r="N4" s="5">
        <v>82.128</v>
      </c>
      <c r="O4" s="5">
        <v>1563.8389999999999</v>
      </c>
      <c r="P4" s="5" t="s">
        <v>128</v>
      </c>
      <c r="Q4" s="5">
        <v>35.508000000000003</v>
      </c>
      <c r="R4" s="5" t="s">
        <v>128</v>
      </c>
      <c r="S4" s="5">
        <v>24.280999999999999</v>
      </c>
      <c r="T4" s="5">
        <v>926.64400000000001</v>
      </c>
      <c r="U4" s="5">
        <v>22.199000000000002</v>
      </c>
      <c r="V4" s="5">
        <v>1224.453</v>
      </c>
      <c r="W4" s="5" t="s">
        <v>128</v>
      </c>
      <c r="X4" s="5" t="s">
        <v>128</v>
      </c>
      <c r="Y4" s="5">
        <v>1106.74</v>
      </c>
    </row>
    <row r="5" spans="1:25" x14ac:dyDescent="0.25">
      <c r="A5" s="47" t="s">
        <v>138</v>
      </c>
      <c r="B5" s="47" t="s">
        <v>134</v>
      </c>
      <c r="C5" s="1" t="s">
        <v>89</v>
      </c>
      <c r="D5" s="1" t="s">
        <v>56</v>
      </c>
      <c r="E5" s="5" t="s">
        <v>128</v>
      </c>
      <c r="F5" s="5">
        <v>1046.8620000000001</v>
      </c>
      <c r="G5" s="5">
        <v>63.087000000000003</v>
      </c>
      <c r="H5" s="5" t="s">
        <v>128</v>
      </c>
      <c r="I5" s="5">
        <v>13.244</v>
      </c>
      <c r="J5" s="5">
        <v>2945.587</v>
      </c>
      <c r="K5" s="5">
        <v>118.916</v>
      </c>
      <c r="L5" s="5" t="s">
        <v>128</v>
      </c>
      <c r="M5" s="5">
        <v>72178.653999999995</v>
      </c>
      <c r="N5" s="5">
        <v>28.346</v>
      </c>
      <c r="O5" s="5">
        <v>1689.0319999999999</v>
      </c>
      <c r="P5" s="5" t="s">
        <v>128</v>
      </c>
      <c r="Q5" s="5">
        <v>15.722</v>
      </c>
      <c r="R5" s="5" t="s">
        <v>128</v>
      </c>
      <c r="S5" s="5">
        <v>29.443000000000001</v>
      </c>
      <c r="T5" s="5">
        <v>1336.625</v>
      </c>
      <c r="U5" s="5">
        <v>14.526</v>
      </c>
      <c r="V5" s="5">
        <v>1369.2149999999999</v>
      </c>
      <c r="W5" s="5" t="s">
        <v>128</v>
      </c>
      <c r="X5" s="5" t="s">
        <v>128</v>
      </c>
      <c r="Y5" s="5">
        <v>122.685</v>
      </c>
    </row>
    <row r="6" spans="1:25" x14ac:dyDescent="0.25">
      <c r="A6" s="48" t="s">
        <v>139</v>
      </c>
      <c r="B6" s="48" t="s">
        <v>135</v>
      </c>
      <c r="C6" s="1" t="s">
        <v>90</v>
      </c>
      <c r="D6" s="1" t="s">
        <v>57</v>
      </c>
      <c r="E6" s="5" t="s">
        <v>128</v>
      </c>
      <c r="F6" s="5">
        <v>890.4</v>
      </c>
      <c r="G6" s="5">
        <v>43.674999999999997</v>
      </c>
      <c r="H6" s="5" t="s">
        <v>128</v>
      </c>
      <c r="I6" s="5">
        <v>18.975999999999999</v>
      </c>
      <c r="J6" s="5">
        <v>3054.05</v>
      </c>
      <c r="K6" s="5">
        <v>119.20699999999999</v>
      </c>
      <c r="L6" s="5" t="s">
        <v>128</v>
      </c>
      <c r="M6" s="5">
        <v>89984.975000000006</v>
      </c>
      <c r="N6" s="5">
        <v>27.399000000000001</v>
      </c>
      <c r="O6" s="5">
        <v>8736.0540000000001</v>
      </c>
      <c r="P6" s="5" t="s">
        <v>128</v>
      </c>
      <c r="Q6" s="5">
        <v>18.202000000000002</v>
      </c>
      <c r="R6" s="5" t="s">
        <v>128</v>
      </c>
      <c r="S6" s="5">
        <v>24.869</v>
      </c>
      <c r="T6" s="5">
        <v>1693.7860000000001</v>
      </c>
      <c r="U6" s="5">
        <v>19.882000000000001</v>
      </c>
      <c r="V6" s="5">
        <v>1148.5719999999999</v>
      </c>
      <c r="W6" s="5" t="s">
        <v>128</v>
      </c>
      <c r="X6" s="5" t="s">
        <v>128</v>
      </c>
      <c r="Y6" s="5">
        <v>1509.7380000000001</v>
      </c>
    </row>
    <row r="7" spans="1:25" x14ac:dyDescent="0.25">
      <c r="A7" s="47" t="s">
        <v>138</v>
      </c>
      <c r="B7" s="47" t="s">
        <v>140</v>
      </c>
      <c r="C7" s="1" t="s">
        <v>91</v>
      </c>
      <c r="D7" s="1" t="s">
        <v>58</v>
      </c>
      <c r="E7" s="5" t="s">
        <v>128</v>
      </c>
      <c r="F7" s="5">
        <v>523.93700000000001</v>
      </c>
      <c r="G7" s="5">
        <v>261.55599999999998</v>
      </c>
      <c r="H7" s="5" t="s">
        <v>128</v>
      </c>
      <c r="I7" s="5">
        <v>8.3480000000000008</v>
      </c>
      <c r="J7" s="5">
        <v>2115.3069999999998</v>
      </c>
      <c r="K7" s="5">
        <v>85.662999999999997</v>
      </c>
      <c r="L7" s="5" t="s">
        <v>128</v>
      </c>
      <c r="M7" s="5">
        <v>40557.417000000001</v>
      </c>
      <c r="N7" s="5" t="s">
        <v>128</v>
      </c>
      <c r="O7" s="5" t="s">
        <v>128</v>
      </c>
      <c r="P7" s="5" t="s">
        <v>128</v>
      </c>
      <c r="Q7" s="5">
        <v>4.742</v>
      </c>
      <c r="R7" s="5" t="s">
        <v>128</v>
      </c>
      <c r="S7" s="5">
        <v>6.9050000000000002</v>
      </c>
      <c r="T7" s="5">
        <v>748.02099999999996</v>
      </c>
      <c r="U7" s="5" t="s">
        <v>128</v>
      </c>
      <c r="V7" s="5">
        <v>230.50299999999999</v>
      </c>
      <c r="W7" s="5" t="s">
        <v>128</v>
      </c>
      <c r="X7" s="5" t="s">
        <v>128</v>
      </c>
      <c r="Y7" s="5" t="s">
        <v>128</v>
      </c>
    </row>
    <row r="8" spans="1:25" x14ac:dyDescent="0.25">
      <c r="A8" s="48" t="s">
        <v>139</v>
      </c>
      <c r="B8" s="48" t="s">
        <v>141</v>
      </c>
      <c r="C8" s="1" t="s">
        <v>92</v>
      </c>
      <c r="D8" s="1" t="s">
        <v>59</v>
      </c>
      <c r="E8" s="5" t="s">
        <v>128</v>
      </c>
      <c r="F8" s="5">
        <v>781.84199999999998</v>
      </c>
      <c r="G8" s="5">
        <v>32.738</v>
      </c>
      <c r="H8" s="5">
        <v>806.56100000000004</v>
      </c>
      <c r="I8" s="5">
        <v>8.8249999999999993</v>
      </c>
      <c r="J8" s="5">
        <v>1661.693</v>
      </c>
      <c r="K8" s="5">
        <v>108.875</v>
      </c>
      <c r="L8" s="5" t="s">
        <v>128</v>
      </c>
      <c r="M8" s="5">
        <v>60119.514999999999</v>
      </c>
      <c r="N8" s="5">
        <v>10.547000000000001</v>
      </c>
      <c r="O8" s="5">
        <v>7160.9750000000004</v>
      </c>
      <c r="P8" s="5" t="s">
        <v>128</v>
      </c>
      <c r="Q8" s="5">
        <v>6.2850000000000001</v>
      </c>
      <c r="R8" s="5" t="s">
        <v>128</v>
      </c>
      <c r="S8" s="5">
        <v>11.445</v>
      </c>
      <c r="T8" s="5">
        <v>1019.347</v>
      </c>
      <c r="U8" s="5" t="s">
        <v>128</v>
      </c>
      <c r="V8" s="5">
        <v>733.19299999999998</v>
      </c>
      <c r="W8" s="5" t="s">
        <v>128</v>
      </c>
      <c r="X8" s="5" t="s">
        <v>128</v>
      </c>
      <c r="Y8" s="5">
        <v>522.76700000000005</v>
      </c>
    </row>
    <row r="9" spans="1:25" x14ac:dyDescent="0.25">
      <c r="A9" s="47" t="s">
        <v>138</v>
      </c>
      <c r="B9" s="47" t="s">
        <v>143</v>
      </c>
      <c r="C9" s="1" t="s">
        <v>93</v>
      </c>
      <c r="D9" s="1" t="s">
        <v>60</v>
      </c>
      <c r="E9" s="5" t="s">
        <v>128</v>
      </c>
      <c r="F9" s="5">
        <v>653.77499999999998</v>
      </c>
      <c r="G9" s="5">
        <v>47.356999999999999</v>
      </c>
      <c r="H9" s="5" t="s">
        <v>128</v>
      </c>
      <c r="I9" s="5">
        <v>8.0459999999999994</v>
      </c>
      <c r="J9" s="5">
        <v>1593.1880000000001</v>
      </c>
      <c r="K9" s="5">
        <v>29.388999999999999</v>
      </c>
      <c r="L9" s="5" t="s">
        <v>128</v>
      </c>
      <c r="M9" s="5">
        <v>36033.156999999999</v>
      </c>
      <c r="N9" s="5">
        <v>25.411999999999999</v>
      </c>
      <c r="O9" s="5">
        <v>2644.4459999999999</v>
      </c>
      <c r="P9" s="5" t="s">
        <v>128</v>
      </c>
      <c r="Q9" s="5" t="s">
        <v>128</v>
      </c>
      <c r="R9" s="5" t="s">
        <v>128</v>
      </c>
      <c r="S9" s="5">
        <v>7.5490000000000004</v>
      </c>
      <c r="T9" s="5">
        <v>769.59100000000001</v>
      </c>
      <c r="U9" s="5" t="s">
        <v>128</v>
      </c>
      <c r="V9" s="5">
        <v>502.17500000000001</v>
      </c>
      <c r="W9" s="5" t="s">
        <v>128</v>
      </c>
      <c r="X9" s="5" t="s">
        <v>128</v>
      </c>
      <c r="Y9" s="5" t="s">
        <v>128</v>
      </c>
    </row>
    <row r="10" spans="1:25" x14ac:dyDescent="0.25">
      <c r="A10" s="48" t="s">
        <v>139</v>
      </c>
      <c r="B10" s="48" t="s">
        <v>142</v>
      </c>
      <c r="C10" s="1" t="s">
        <v>94</v>
      </c>
      <c r="D10" s="1" t="s">
        <v>61</v>
      </c>
      <c r="E10" s="5" t="s">
        <v>128</v>
      </c>
      <c r="F10" s="5">
        <v>447.70699999999999</v>
      </c>
      <c r="G10" s="5">
        <v>60.48</v>
      </c>
      <c r="H10" s="5" t="s">
        <v>128</v>
      </c>
      <c r="I10" s="5">
        <v>8.4589999999999996</v>
      </c>
      <c r="J10" s="5">
        <v>1574.508</v>
      </c>
      <c r="K10" s="5">
        <v>61.597000000000001</v>
      </c>
      <c r="L10" s="5" t="s">
        <v>128</v>
      </c>
      <c r="M10" s="5">
        <v>69138.149000000005</v>
      </c>
      <c r="N10" s="5">
        <v>29.934999999999999</v>
      </c>
      <c r="O10" s="5">
        <v>4422.8289999999997</v>
      </c>
      <c r="P10" s="5" t="s">
        <v>128</v>
      </c>
      <c r="Q10" s="5">
        <v>12.942</v>
      </c>
      <c r="R10" s="5" t="s">
        <v>128</v>
      </c>
      <c r="S10" s="5">
        <v>21.873999999999999</v>
      </c>
      <c r="T10" s="5">
        <v>1129.7139999999999</v>
      </c>
      <c r="U10" s="5" t="s">
        <v>128</v>
      </c>
      <c r="V10" s="5">
        <v>1077.038</v>
      </c>
      <c r="W10" s="5" t="s">
        <v>128</v>
      </c>
      <c r="X10" s="5" t="s">
        <v>128</v>
      </c>
      <c r="Y10" s="5">
        <v>903.25699999999995</v>
      </c>
    </row>
    <row r="11" spans="1:25" x14ac:dyDescent="0.25">
      <c r="A11" s="47" t="s">
        <v>138</v>
      </c>
      <c r="B11" s="47" t="s">
        <v>144</v>
      </c>
      <c r="C11" s="1" t="s">
        <v>95</v>
      </c>
      <c r="D11" s="1" t="s">
        <v>62</v>
      </c>
      <c r="E11" s="5">
        <v>8.6549999999999994</v>
      </c>
      <c r="F11" s="5">
        <v>265.85500000000002</v>
      </c>
      <c r="G11" s="5" t="s">
        <v>128</v>
      </c>
      <c r="H11" s="5" t="s">
        <v>128</v>
      </c>
      <c r="I11" s="5">
        <v>6.6189999999999998</v>
      </c>
      <c r="J11" s="5">
        <v>820.67499999999995</v>
      </c>
      <c r="K11" s="5">
        <v>53.16</v>
      </c>
      <c r="L11" s="5" t="s">
        <v>128</v>
      </c>
      <c r="M11" s="5">
        <v>43386.921000000002</v>
      </c>
      <c r="N11" s="5">
        <v>11.058999999999999</v>
      </c>
      <c r="O11" s="5">
        <v>234.648</v>
      </c>
      <c r="P11" s="5" t="s">
        <v>128</v>
      </c>
      <c r="Q11" s="5">
        <v>18.154</v>
      </c>
      <c r="R11" s="5" t="s">
        <v>128</v>
      </c>
      <c r="S11" s="5">
        <v>17.503</v>
      </c>
      <c r="T11" s="5">
        <v>537.69600000000003</v>
      </c>
      <c r="U11" s="5" t="s">
        <v>128</v>
      </c>
      <c r="V11" s="5">
        <v>445.41800000000001</v>
      </c>
      <c r="W11" s="5" t="s">
        <v>128</v>
      </c>
      <c r="X11" s="5" t="s">
        <v>128</v>
      </c>
      <c r="Y11" s="5">
        <v>47.841000000000001</v>
      </c>
    </row>
    <row r="12" spans="1:25" x14ac:dyDescent="0.25">
      <c r="A12" s="48" t="s">
        <v>139</v>
      </c>
      <c r="B12" s="48" t="s">
        <v>132</v>
      </c>
      <c r="C12" s="1" t="s">
        <v>96</v>
      </c>
      <c r="D12" s="1" t="s">
        <v>63</v>
      </c>
      <c r="E12" s="5" t="s">
        <v>128</v>
      </c>
      <c r="F12" s="5">
        <v>234.03100000000001</v>
      </c>
      <c r="G12" s="5">
        <v>37.680999999999997</v>
      </c>
      <c r="H12" s="5" t="s">
        <v>128</v>
      </c>
      <c r="I12" s="5">
        <v>4.7320000000000002</v>
      </c>
      <c r="J12" s="5">
        <v>854.72</v>
      </c>
      <c r="K12" s="5">
        <v>67.375</v>
      </c>
      <c r="L12" s="5" t="s">
        <v>128</v>
      </c>
      <c r="M12" s="5">
        <v>51289.817000000003</v>
      </c>
      <c r="N12" s="5">
        <v>17.305</v>
      </c>
      <c r="O12" s="5">
        <v>1671.8969999999999</v>
      </c>
      <c r="P12" s="5" t="s">
        <v>128</v>
      </c>
      <c r="Q12" s="5">
        <v>15.311999999999999</v>
      </c>
      <c r="R12" s="5" t="s">
        <v>128</v>
      </c>
      <c r="S12" s="5">
        <v>13.614000000000001</v>
      </c>
      <c r="T12" s="5">
        <v>493.54500000000002</v>
      </c>
      <c r="U12" s="5" t="s">
        <v>128</v>
      </c>
      <c r="V12" s="5">
        <v>1016.5069999999999</v>
      </c>
      <c r="W12" s="5" t="s">
        <v>128</v>
      </c>
      <c r="X12" s="5" t="s">
        <v>128</v>
      </c>
      <c r="Y12" s="5">
        <v>2237.0819999999999</v>
      </c>
    </row>
    <row r="13" spans="1:25" x14ac:dyDescent="0.25">
      <c r="A13" s="47" t="s">
        <v>138</v>
      </c>
      <c r="B13" s="47" t="s">
        <v>147</v>
      </c>
      <c r="C13" s="1" t="s">
        <v>97</v>
      </c>
      <c r="D13" s="1" t="s">
        <v>64</v>
      </c>
      <c r="E13" s="5" t="s">
        <v>128</v>
      </c>
      <c r="F13" s="5">
        <v>223.184</v>
      </c>
      <c r="G13" s="5">
        <v>28.504000000000001</v>
      </c>
      <c r="H13" s="5" t="s">
        <v>128</v>
      </c>
      <c r="I13" s="5">
        <v>4.617</v>
      </c>
      <c r="J13" s="5">
        <v>1099.8320000000001</v>
      </c>
      <c r="K13" s="5">
        <v>41.398000000000003</v>
      </c>
      <c r="L13" s="5" t="s">
        <v>128</v>
      </c>
      <c r="M13" s="5">
        <v>39937.35</v>
      </c>
      <c r="N13" s="5">
        <v>12.769</v>
      </c>
      <c r="O13" s="5">
        <v>991.93899999999996</v>
      </c>
      <c r="P13" s="5" t="s">
        <v>128</v>
      </c>
      <c r="Q13" s="5">
        <v>3.298</v>
      </c>
      <c r="R13" s="5" t="s">
        <v>128</v>
      </c>
      <c r="S13" s="5">
        <v>8.9589999999999996</v>
      </c>
      <c r="T13" s="5">
        <v>624.45799999999997</v>
      </c>
      <c r="U13" s="5" t="s">
        <v>128</v>
      </c>
      <c r="V13" s="5">
        <v>430.80700000000002</v>
      </c>
      <c r="W13" s="5" t="s">
        <v>128</v>
      </c>
      <c r="X13" s="5" t="s">
        <v>128</v>
      </c>
      <c r="Y13" s="5">
        <v>23.645</v>
      </c>
    </row>
    <row r="14" spans="1:25" x14ac:dyDescent="0.25">
      <c r="A14" s="48" t="s">
        <v>139</v>
      </c>
      <c r="B14" s="48" t="s">
        <v>131</v>
      </c>
      <c r="C14" s="1" t="s">
        <v>98</v>
      </c>
      <c r="D14" s="1" t="s">
        <v>65</v>
      </c>
      <c r="E14" s="5" t="s">
        <v>128</v>
      </c>
      <c r="F14" s="5">
        <v>321.048</v>
      </c>
      <c r="G14" s="5">
        <v>26.097000000000001</v>
      </c>
      <c r="H14" s="5" t="s">
        <v>128</v>
      </c>
      <c r="I14" s="5">
        <v>4.5890000000000004</v>
      </c>
      <c r="J14" s="5">
        <v>1302.3330000000001</v>
      </c>
      <c r="K14" s="5">
        <v>52.345999999999997</v>
      </c>
      <c r="L14" s="5" t="s">
        <v>128</v>
      </c>
      <c r="M14" s="5">
        <v>42131.212</v>
      </c>
      <c r="N14" s="5">
        <v>20.773</v>
      </c>
      <c r="O14" s="5">
        <v>4403.8959999999997</v>
      </c>
      <c r="P14" s="5" t="s">
        <v>128</v>
      </c>
      <c r="Q14" s="5">
        <v>5.6150000000000002</v>
      </c>
      <c r="R14" s="5" t="s">
        <v>128</v>
      </c>
      <c r="S14" s="5">
        <v>13.935</v>
      </c>
      <c r="T14" s="5">
        <v>844.322</v>
      </c>
      <c r="U14" s="5" t="s">
        <v>128</v>
      </c>
      <c r="V14" s="5">
        <v>3352.6289999999999</v>
      </c>
      <c r="W14" s="5" t="s">
        <v>128</v>
      </c>
      <c r="X14" s="5" t="s">
        <v>128</v>
      </c>
      <c r="Y14" s="5">
        <v>2368.5970000000002</v>
      </c>
    </row>
    <row r="15" spans="1:25" x14ac:dyDescent="0.25">
      <c r="A15" s="47" t="s">
        <v>138</v>
      </c>
      <c r="B15" s="47" t="s">
        <v>133</v>
      </c>
      <c r="C15" s="1" t="s">
        <v>99</v>
      </c>
      <c r="D15" s="1" t="s">
        <v>66</v>
      </c>
      <c r="E15" s="5" t="s">
        <v>128</v>
      </c>
      <c r="F15" s="5">
        <v>1451.232</v>
      </c>
      <c r="G15" s="5">
        <v>104.539</v>
      </c>
      <c r="H15" s="5" t="s">
        <v>128</v>
      </c>
      <c r="I15" s="5">
        <v>5.4850000000000003</v>
      </c>
      <c r="J15" s="5">
        <v>2256.0590000000002</v>
      </c>
      <c r="K15" s="5">
        <v>69.734999999999999</v>
      </c>
      <c r="L15" s="5" t="s">
        <v>128</v>
      </c>
      <c r="M15" s="5">
        <v>28178.451000000001</v>
      </c>
      <c r="N15" s="5">
        <v>30.013999999999999</v>
      </c>
      <c r="O15" s="5">
        <v>4089.0250000000001</v>
      </c>
      <c r="P15" s="5" t="s">
        <v>128</v>
      </c>
      <c r="Q15" s="5">
        <v>3.1120000000000001</v>
      </c>
      <c r="R15" s="5" t="s">
        <v>128</v>
      </c>
      <c r="S15" s="5">
        <v>12.552</v>
      </c>
      <c r="T15" s="5">
        <v>990.43899999999996</v>
      </c>
      <c r="U15" s="5" t="s">
        <v>128</v>
      </c>
      <c r="V15" s="5">
        <v>257.815</v>
      </c>
      <c r="W15" s="5" t="s">
        <v>128</v>
      </c>
      <c r="X15" s="5" t="s">
        <v>128</v>
      </c>
      <c r="Y15" s="5">
        <v>27.856000000000002</v>
      </c>
    </row>
    <row r="16" spans="1:25" x14ac:dyDescent="0.25">
      <c r="A16" s="48" t="s">
        <v>139</v>
      </c>
      <c r="B16" s="48" t="s">
        <v>136</v>
      </c>
      <c r="C16" s="1" t="s">
        <v>100</v>
      </c>
      <c r="D16" s="1" t="s">
        <v>67</v>
      </c>
      <c r="E16" s="5">
        <v>16.806999999999999</v>
      </c>
      <c r="F16" s="5">
        <v>1399.297</v>
      </c>
      <c r="G16" s="5">
        <v>50.357999999999997</v>
      </c>
      <c r="H16" s="5" t="s">
        <v>128</v>
      </c>
      <c r="I16" s="5">
        <v>8.7149999999999999</v>
      </c>
      <c r="J16" s="5">
        <v>4479.9949999999999</v>
      </c>
      <c r="K16" s="5">
        <v>162.48599999999999</v>
      </c>
      <c r="L16" s="5" t="s">
        <v>128</v>
      </c>
      <c r="M16" s="5">
        <v>60106.724999999999</v>
      </c>
      <c r="N16" s="5">
        <v>24.064</v>
      </c>
      <c r="O16" s="5">
        <v>14635.203</v>
      </c>
      <c r="P16" s="5" t="s">
        <v>128</v>
      </c>
      <c r="Q16" s="5">
        <v>12.384</v>
      </c>
      <c r="R16" s="5" t="s">
        <v>128</v>
      </c>
      <c r="S16" s="5">
        <v>37.329000000000001</v>
      </c>
      <c r="T16" s="5">
        <v>1414.6130000000001</v>
      </c>
      <c r="U16" s="5">
        <v>14.651</v>
      </c>
      <c r="V16" s="5">
        <v>5574.0259999999998</v>
      </c>
      <c r="W16" s="5" t="s">
        <v>128</v>
      </c>
      <c r="X16" s="5" t="s">
        <v>128</v>
      </c>
      <c r="Y16" s="5">
        <v>788.93700000000001</v>
      </c>
    </row>
    <row r="17" spans="1:25" x14ac:dyDescent="0.25">
      <c r="A17" s="47" t="s">
        <v>138</v>
      </c>
      <c r="B17" s="49" t="s">
        <v>137</v>
      </c>
      <c r="C17" s="1" t="s">
        <v>101</v>
      </c>
      <c r="D17" s="1" t="s">
        <v>68</v>
      </c>
      <c r="E17" s="5" t="s">
        <v>128</v>
      </c>
      <c r="F17" s="5">
        <v>140.071</v>
      </c>
      <c r="G17" s="5">
        <v>12.731999999999999</v>
      </c>
      <c r="H17" s="5" t="s">
        <v>128</v>
      </c>
      <c r="I17" s="5">
        <v>6.7720000000000002</v>
      </c>
      <c r="J17" s="5">
        <v>1197.847</v>
      </c>
      <c r="K17" s="5">
        <v>49.91</v>
      </c>
      <c r="L17" s="5" t="s">
        <v>128</v>
      </c>
      <c r="M17" s="5">
        <v>44658.328000000001</v>
      </c>
      <c r="N17" s="5">
        <v>14.824999999999999</v>
      </c>
      <c r="O17" s="5">
        <v>1137.4970000000001</v>
      </c>
      <c r="P17" s="5" t="s">
        <v>128</v>
      </c>
      <c r="Q17" s="5">
        <v>4.5369999999999999</v>
      </c>
      <c r="R17" s="5" t="s">
        <v>128</v>
      </c>
      <c r="S17" s="5">
        <v>8.9770000000000003</v>
      </c>
      <c r="T17" s="5">
        <v>472.95699999999999</v>
      </c>
      <c r="U17" s="5" t="s">
        <v>128</v>
      </c>
      <c r="V17" s="5">
        <v>640.85900000000004</v>
      </c>
      <c r="W17" s="5" t="s">
        <v>128</v>
      </c>
      <c r="X17" s="5" t="s">
        <v>128</v>
      </c>
      <c r="Y17" s="5" t="s">
        <v>128</v>
      </c>
    </row>
    <row r="18" spans="1:25" x14ac:dyDescent="0.25">
      <c r="A18" s="48" t="s">
        <v>139</v>
      </c>
      <c r="B18" s="48" t="s">
        <v>146</v>
      </c>
      <c r="C18" s="1" t="s">
        <v>102</v>
      </c>
      <c r="D18" s="1" t="s">
        <v>69</v>
      </c>
      <c r="E18" s="5" t="s">
        <v>128</v>
      </c>
      <c r="F18" s="5">
        <v>75.878</v>
      </c>
      <c r="G18" s="5">
        <v>19.969000000000001</v>
      </c>
      <c r="H18" s="5" t="s">
        <v>128</v>
      </c>
      <c r="I18" s="5">
        <v>5.1660000000000004</v>
      </c>
      <c r="J18" s="5">
        <v>502.61200000000002</v>
      </c>
      <c r="K18" s="5">
        <v>45.131999999999998</v>
      </c>
      <c r="L18" s="5" t="s">
        <v>128</v>
      </c>
      <c r="M18" s="5">
        <v>29150.879000000001</v>
      </c>
      <c r="N18" s="5">
        <v>14.009</v>
      </c>
      <c r="O18" s="5">
        <v>2177.576</v>
      </c>
      <c r="P18" s="5" t="s">
        <v>128</v>
      </c>
      <c r="Q18" s="5">
        <v>9.1639999999999997</v>
      </c>
      <c r="R18" s="5" t="s">
        <v>128</v>
      </c>
      <c r="S18" s="5">
        <v>14.278</v>
      </c>
      <c r="T18" s="5">
        <v>412.46</v>
      </c>
      <c r="U18" s="5" t="s">
        <v>128</v>
      </c>
      <c r="V18" s="5">
        <v>885.13599999999997</v>
      </c>
      <c r="W18" s="5" t="s">
        <v>128</v>
      </c>
      <c r="X18" s="5" t="s">
        <v>128</v>
      </c>
      <c r="Y18" s="5">
        <v>932.91899999999998</v>
      </c>
    </row>
    <row r="19" spans="1:25" x14ac:dyDescent="0.25">
      <c r="A19" s="47" t="s">
        <v>138</v>
      </c>
      <c r="B19" s="47" t="s">
        <v>145</v>
      </c>
      <c r="C19" s="1" t="s">
        <v>103</v>
      </c>
      <c r="D19" s="1" t="s">
        <v>70</v>
      </c>
      <c r="E19" s="5" t="s">
        <v>128</v>
      </c>
      <c r="F19" s="5">
        <v>186.863</v>
      </c>
      <c r="G19" s="5">
        <v>13.182</v>
      </c>
      <c r="H19" s="5" t="s">
        <v>128</v>
      </c>
      <c r="I19" s="5">
        <v>5.2450000000000001</v>
      </c>
      <c r="J19" s="5">
        <v>1190.9390000000001</v>
      </c>
      <c r="K19" s="5">
        <v>33.149000000000001</v>
      </c>
      <c r="L19" s="5" t="s">
        <v>128</v>
      </c>
      <c r="M19" s="5">
        <v>66898.584000000003</v>
      </c>
      <c r="N19" s="5">
        <v>12.159000000000001</v>
      </c>
      <c r="O19" s="5">
        <v>465.57</v>
      </c>
      <c r="P19" s="5" t="s">
        <v>128</v>
      </c>
      <c r="Q19" s="5" t="s">
        <v>128</v>
      </c>
      <c r="R19" s="5" t="s">
        <v>128</v>
      </c>
      <c r="S19" s="5">
        <v>5.7080000000000002</v>
      </c>
      <c r="T19" s="5">
        <v>441.64800000000002</v>
      </c>
      <c r="U19" s="5" t="s">
        <v>128</v>
      </c>
      <c r="V19" s="5">
        <v>800.37099999999998</v>
      </c>
      <c r="W19" s="5" t="s">
        <v>128</v>
      </c>
      <c r="X19" s="5" t="s">
        <v>128</v>
      </c>
      <c r="Y19" s="5">
        <v>489.86099999999999</v>
      </c>
    </row>
    <row r="20" spans="1:25" x14ac:dyDescent="0.25">
      <c r="A20" s="48" t="s">
        <v>139</v>
      </c>
      <c r="B20" s="48" t="s">
        <v>149</v>
      </c>
      <c r="C20" s="1" t="s">
        <v>104</v>
      </c>
      <c r="D20" s="1" t="s">
        <v>71</v>
      </c>
      <c r="E20" s="5" t="s">
        <v>128</v>
      </c>
      <c r="F20" s="5">
        <v>243.732</v>
      </c>
      <c r="G20" s="5">
        <v>25.977</v>
      </c>
      <c r="H20" s="5" t="s">
        <v>128</v>
      </c>
      <c r="I20" s="5">
        <v>4.9889999999999999</v>
      </c>
      <c r="J20" s="5">
        <v>1259.0239999999999</v>
      </c>
      <c r="K20" s="5">
        <v>48.249000000000002</v>
      </c>
      <c r="L20" s="5" t="s">
        <v>128</v>
      </c>
      <c r="M20" s="5">
        <v>56194.01</v>
      </c>
      <c r="N20" s="5">
        <v>14.481999999999999</v>
      </c>
      <c r="O20" s="5">
        <v>1331.857</v>
      </c>
      <c r="P20" s="5" t="s">
        <v>128</v>
      </c>
      <c r="Q20" s="5">
        <v>4.6239999999999997</v>
      </c>
      <c r="R20" s="5" t="s">
        <v>128</v>
      </c>
      <c r="S20" s="5">
        <v>10.432</v>
      </c>
      <c r="T20" s="5">
        <v>614.947</v>
      </c>
      <c r="U20" s="5" t="s">
        <v>128</v>
      </c>
      <c r="V20" s="5">
        <v>809.46100000000001</v>
      </c>
      <c r="W20" s="5" t="s">
        <v>128</v>
      </c>
      <c r="X20" s="5" t="s">
        <v>128</v>
      </c>
      <c r="Y20" s="5">
        <v>7575.47</v>
      </c>
    </row>
    <row r="21" spans="1:25" x14ac:dyDescent="0.25">
      <c r="A21" s="47" t="s">
        <v>138</v>
      </c>
      <c r="B21" s="47" t="s">
        <v>151</v>
      </c>
      <c r="C21" s="1" t="s">
        <v>105</v>
      </c>
      <c r="D21" s="1" t="s">
        <v>72</v>
      </c>
      <c r="E21" s="5" t="s">
        <v>128</v>
      </c>
      <c r="F21" s="5">
        <v>159.33699999999999</v>
      </c>
      <c r="G21" s="5" t="s">
        <v>128</v>
      </c>
      <c r="H21" s="5" t="s">
        <v>128</v>
      </c>
      <c r="I21" s="5">
        <v>12.627000000000001</v>
      </c>
      <c r="J21" s="5">
        <v>780.30799999999999</v>
      </c>
      <c r="K21" s="5">
        <v>28.068999999999999</v>
      </c>
      <c r="L21" s="5" t="s">
        <v>128</v>
      </c>
      <c r="M21" s="5">
        <v>41695.908000000003</v>
      </c>
      <c r="N21" s="5" t="s">
        <v>128</v>
      </c>
      <c r="O21" s="5">
        <v>832.21799999999996</v>
      </c>
      <c r="P21" s="5" t="s">
        <v>128</v>
      </c>
      <c r="Q21" s="5" t="s">
        <v>128</v>
      </c>
      <c r="R21" s="5" t="s">
        <v>128</v>
      </c>
      <c r="S21" s="5">
        <v>3.5339999999999998</v>
      </c>
      <c r="T21" s="5">
        <v>321.99200000000002</v>
      </c>
      <c r="U21" s="5" t="s">
        <v>128</v>
      </c>
      <c r="V21" s="5">
        <v>255.25700000000001</v>
      </c>
      <c r="W21" s="5" t="s">
        <v>128</v>
      </c>
      <c r="X21" s="5" t="s">
        <v>128</v>
      </c>
      <c r="Y21" s="5" t="s">
        <v>128</v>
      </c>
    </row>
    <row r="22" spans="1:25" x14ac:dyDescent="0.25">
      <c r="A22" s="48" t="s">
        <v>139</v>
      </c>
      <c r="B22" s="48" t="s">
        <v>152</v>
      </c>
      <c r="C22" s="1" t="s">
        <v>106</v>
      </c>
      <c r="D22" s="1" t="s">
        <v>73</v>
      </c>
      <c r="E22" s="5" t="s">
        <v>128</v>
      </c>
      <c r="F22" s="5">
        <v>141.44300000000001</v>
      </c>
      <c r="G22" s="5">
        <v>28.388000000000002</v>
      </c>
      <c r="H22" s="5" t="s">
        <v>128</v>
      </c>
      <c r="I22" s="5">
        <v>21.245999999999999</v>
      </c>
      <c r="J22" s="5">
        <v>639.39300000000003</v>
      </c>
      <c r="K22" s="5">
        <v>78.099000000000004</v>
      </c>
      <c r="L22" s="5" t="s">
        <v>128</v>
      </c>
      <c r="M22" s="5">
        <v>23742.503000000001</v>
      </c>
      <c r="N22" s="5">
        <v>10.744</v>
      </c>
      <c r="O22" s="5">
        <v>2046.634</v>
      </c>
      <c r="P22" s="5" t="s">
        <v>128</v>
      </c>
      <c r="Q22" s="5">
        <v>4.702</v>
      </c>
      <c r="R22" s="5">
        <v>3.782</v>
      </c>
      <c r="S22" s="5">
        <v>14.535</v>
      </c>
      <c r="T22" s="5">
        <v>489.57</v>
      </c>
      <c r="U22" s="5" t="s">
        <v>128</v>
      </c>
      <c r="V22" s="5">
        <v>282.03100000000001</v>
      </c>
      <c r="W22" s="5" t="s">
        <v>128</v>
      </c>
      <c r="X22" s="5" t="s">
        <v>128</v>
      </c>
      <c r="Y22" s="5">
        <v>69.106999999999999</v>
      </c>
    </row>
    <row r="23" spans="1:25" x14ac:dyDescent="0.25">
      <c r="A23" s="47" t="s">
        <v>138</v>
      </c>
      <c r="B23" s="47" t="s">
        <v>148</v>
      </c>
      <c r="C23" s="1" t="s">
        <v>107</v>
      </c>
      <c r="D23" s="1" t="s">
        <v>74</v>
      </c>
      <c r="E23" s="5" t="s">
        <v>128</v>
      </c>
      <c r="F23" s="5">
        <v>458.06599999999997</v>
      </c>
      <c r="G23" s="5">
        <v>61.542000000000002</v>
      </c>
      <c r="H23" s="5" t="s">
        <v>128</v>
      </c>
      <c r="I23" s="5">
        <v>6.633</v>
      </c>
      <c r="J23" s="5">
        <v>2169.3339999999998</v>
      </c>
      <c r="K23" s="5">
        <v>59.457000000000001</v>
      </c>
      <c r="L23" s="5" t="s">
        <v>128</v>
      </c>
      <c r="M23" s="5">
        <v>32334.044999999998</v>
      </c>
      <c r="N23" s="5">
        <v>12.423</v>
      </c>
      <c r="O23" s="5">
        <v>1197.8399999999999</v>
      </c>
      <c r="P23" s="5" t="s">
        <v>128</v>
      </c>
      <c r="Q23" s="5" t="s">
        <v>128</v>
      </c>
      <c r="R23" s="5" t="s">
        <v>128</v>
      </c>
      <c r="S23" s="5">
        <v>9.2119999999999997</v>
      </c>
      <c r="T23" s="5">
        <v>440.363</v>
      </c>
      <c r="U23" s="5" t="s">
        <v>128</v>
      </c>
      <c r="V23" s="5">
        <v>553.99900000000002</v>
      </c>
      <c r="W23" s="5" t="s">
        <v>128</v>
      </c>
      <c r="X23" s="5" t="s">
        <v>128</v>
      </c>
      <c r="Y23" s="5" t="s">
        <v>128</v>
      </c>
    </row>
    <row r="24" spans="1:25" x14ac:dyDescent="0.25">
      <c r="A24" s="48" t="s">
        <v>139</v>
      </c>
      <c r="B24" s="48" t="s">
        <v>150</v>
      </c>
      <c r="C24" s="1" t="s">
        <v>108</v>
      </c>
      <c r="D24" s="1" t="s">
        <v>75</v>
      </c>
      <c r="E24" s="5">
        <v>9.2219999999999995</v>
      </c>
      <c r="F24" s="5">
        <v>405.70499999999998</v>
      </c>
      <c r="G24" s="5">
        <v>48.508000000000003</v>
      </c>
      <c r="H24" s="5" t="s">
        <v>128</v>
      </c>
      <c r="I24" s="5">
        <v>8.4979999999999993</v>
      </c>
      <c r="J24" s="5">
        <v>2207.6390000000001</v>
      </c>
      <c r="K24" s="5">
        <v>68.88</v>
      </c>
      <c r="L24" s="5" t="s">
        <v>128</v>
      </c>
      <c r="M24" s="5">
        <v>56100.635999999999</v>
      </c>
      <c r="N24" s="5">
        <v>25.754000000000001</v>
      </c>
      <c r="O24" s="5">
        <v>9823.5669999999991</v>
      </c>
      <c r="P24" s="5" t="s">
        <v>128</v>
      </c>
      <c r="Q24" s="5">
        <v>15.029</v>
      </c>
      <c r="R24" s="5">
        <v>2.7650000000000001</v>
      </c>
      <c r="S24" s="5">
        <v>18.443999999999999</v>
      </c>
      <c r="T24" s="5">
        <v>1146.5340000000001</v>
      </c>
      <c r="U24" s="5" t="s">
        <v>128</v>
      </c>
      <c r="V24" s="5">
        <v>2512.3119999999999</v>
      </c>
      <c r="W24" s="5" t="s">
        <v>128</v>
      </c>
      <c r="X24" s="5" t="s">
        <v>128</v>
      </c>
      <c r="Y24" s="5">
        <v>2098.3989999999999</v>
      </c>
    </row>
    <row r="25" spans="1:25" x14ac:dyDescent="0.25">
      <c r="B25" s="15"/>
      <c r="C25" s="1" t="s">
        <v>109</v>
      </c>
      <c r="D25" s="1" t="s">
        <v>76</v>
      </c>
      <c r="E25" s="5">
        <v>11.178000000000001</v>
      </c>
      <c r="F25" s="5">
        <v>318.77499999999998</v>
      </c>
      <c r="G25" s="5">
        <v>24.042999999999999</v>
      </c>
      <c r="H25" s="5" t="s">
        <v>128</v>
      </c>
      <c r="I25" s="5">
        <v>6.1319999999999997</v>
      </c>
      <c r="J25" s="5">
        <v>1613.3889999999999</v>
      </c>
      <c r="K25" s="5">
        <v>94.572999999999993</v>
      </c>
      <c r="L25" s="5" t="s">
        <v>128</v>
      </c>
      <c r="M25" s="5">
        <v>70967.857999999993</v>
      </c>
      <c r="N25" s="5">
        <v>18.123999999999999</v>
      </c>
      <c r="O25" s="5">
        <v>1335.46</v>
      </c>
      <c r="P25" s="5" t="s">
        <v>128</v>
      </c>
      <c r="Q25" s="5">
        <v>16.228000000000002</v>
      </c>
      <c r="R25" s="5" t="s">
        <v>128</v>
      </c>
      <c r="S25" s="5">
        <v>19.707000000000001</v>
      </c>
      <c r="T25" s="5">
        <v>1212.2750000000001</v>
      </c>
      <c r="U25" s="5" t="s">
        <v>128</v>
      </c>
      <c r="V25" s="5">
        <v>1115.5070000000001</v>
      </c>
      <c r="W25" s="5" t="s">
        <v>128</v>
      </c>
      <c r="X25" s="5" t="s">
        <v>128</v>
      </c>
      <c r="Y25" s="5">
        <v>1573.8309999999999</v>
      </c>
    </row>
    <row r="26" spans="1:25" x14ac:dyDescent="0.25">
      <c r="B26" s="15"/>
      <c r="C26" s="1" t="s">
        <v>110</v>
      </c>
      <c r="D26" s="1" t="s">
        <v>77</v>
      </c>
      <c r="E26" s="5">
        <v>7.7009999999999996</v>
      </c>
      <c r="F26" s="5">
        <v>254.011</v>
      </c>
      <c r="G26" s="5">
        <v>54.634</v>
      </c>
      <c r="H26" s="5" t="s">
        <v>128</v>
      </c>
      <c r="I26" s="5">
        <v>5.7750000000000004</v>
      </c>
      <c r="J26" s="5">
        <v>1112.8389999999999</v>
      </c>
      <c r="K26" s="5">
        <v>63.902000000000001</v>
      </c>
      <c r="L26" s="5" t="s">
        <v>128</v>
      </c>
      <c r="M26" s="5">
        <v>51460.097000000002</v>
      </c>
      <c r="N26" s="5">
        <v>15.269</v>
      </c>
      <c r="O26" s="5">
        <v>6469.3530000000001</v>
      </c>
      <c r="P26" s="5" t="s">
        <v>128</v>
      </c>
      <c r="Q26" s="5">
        <v>24.28</v>
      </c>
      <c r="R26" s="5">
        <v>2.0640000000000001</v>
      </c>
      <c r="S26" s="5">
        <v>21.13</v>
      </c>
      <c r="T26" s="5">
        <v>1295.6690000000001</v>
      </c>
      <c r="U26" s="5">
        <v>20.452000000000002</v>
      </c>
      <c r="V26" s="5">
        <v>1172.694</v>
      </c>
      <c r="W26" s="5" t="s">
        <v>128</v>
      </c>
      <c r="X26" s="5" t="s">
        <v>128</v>
      </c>
      <c r="Y26" s="5">
        <v>978.66099999999994</v>
      </c>
    </row>
    <row r="27" spans="1:25" x14ac:dyDescent="0.25">
      <c r="B27" s="15"/>
      <c r="C27" s="1" t="s">
        <v>111</v>
      </c>
      <c r="D27" s="1" t="s">
        <v>78</v>
      </c>
      <c r="E27" s="5" t="s">
        <v>128</v>
      </c>
      <c r="F27" s="5">
        <v>287.04300000000001</v>
      </c>
      <c r="G27" s="5">
        <v>31.388000000000002</v>
      </c>
      <c r="H27" s="5">
        <v>38.100999999999999</v>
      </c>
      <c r="I27" s="5">
        <v>5.9119999999999999</v>
      </c>
      <c r="J27" s="5">
        <v>1331.5440000000001</v>
      </c>
      <c r="K27" s="5">
        <v>74.588999999999999</v>
      </c>
      <c r="L27" s="5" t="s">
        <v>128</v>
      </c>
      <c r="M27" s="5">
        <v>54555.707000000002</v>
      </c>
      <c r="N27" s="5" t="s">
        <v>128</v>
      </c>
      <c r="O27" s="5">
        <v>897.673</v>
      </c>
      <c r="P27" s="5" t="s">
        <v>128</v>
      </c>
      <c r="Q27" s="5">
        <v>11.691000000000001</v>
      </c>
      <c r="R27" s="5" t="s">
        <v>128</v>
      </c>
      <c r="S27" s="5">
        <v>10.202</v>
      </c>
      <c r="T27" s="5">
        <v>751.73199999999997</v>
      </c>
      <c r="U27" s="5" t="s">
        <v>128</v>
      </c>
      <c r="V27" s="5">
        <v>404.46899999999999</v>
      </c>
      <c r="W27" s="5" t="s">
        <v>128</v>
      </c>
      <c r="X27" s="5" t="s">
        <v>128</v>
      </c>
      <c r="Y27" s="5">
        <v>2402.6329999999998</v>
      </c>
    </row>
    <row r="28" spans="1:25" x14ac:dyDescent="0.25">
      <c r="B28" s="15"/>
      <c r="C28" s="1" t="s">
        <v>112</v>
      </c>
      <c r="D28" s="1" t="s">
        <v>79</v>
      </c>
      <c r="E28" s="5" t="s">
        <v>128</v>
      </c>
      <c r="F28" s="5">
        <v>266.75</v>
      </c>
      <c r="G28" s="5">
        <v>50.966999999999999</v>
      </c>
      <c r="H28" s="5">
        <v>26.664999999999999</v>
      </c>
      <c r="I28" s="5">
        <v>5.4630000000000001</v>
      </c>
      <c r="J28" s="5">
        <v>928.57299999999998</v>
      </c>
      <c r="K28" s="5">
        <v>56.773000000000003</v>
      </c>
      <c r="L28" s="5" t="s">
        <v>128</v>
      </c>
      <c r="M28" s="5">
        <v>53016.326000000001</v>
      </c>
      <c r="N28" s="5">
        <v>17.526</v>
      </c>
      <c r="O28" s="5">
        <v>903.12699999999995</v>
      </c>
      <c r="P28" s="5" t="s">
        <v>128</v>
      </c>
      <c r="Q28" s="5">
        <v>5.6680000000000001</v>
      </c>
      <c r="R28" s="5" t="s">
        <v>128</v>
      </c>
      <c r="S28" s="5">
        <v>8.7880000000000003</v>
      </c>
      <c r="T28" s="5">
        <v>642.37800000000004</v>
      </c>
      <c r="U28" s="5" t="s">
        <v>128</v>
      </c>
      <c r="V28" s="5">
        <v>743.63599999999997</v>
      </c>
      <c r="W28" s="5" t="s">
        <v>128</v>
      </c>
      <c r="X28" s="5" t="s">
        <v>128</v>
      </c>
      <c r="Y28" s="5">
        <v>387.63099999999997</v>
      </c>
    </row>
    <row r="29" spans="1:25" x14ac:dyDescent="0.25">
      <c r="B29" s="15"/>
      <c r="C29" s="1" t="s">
        <v>113</v>
      </c>
      <c r="D29" s="1" t="s">
        <v>80</v>
      </c>
      <c r="E29" s="5" t="s">
        <v>128</v>
      </c>
      <c r="F29" s="5">
        <v>430.05599999999998</v>
      </c>
      <c r="G29" s="5">
        <v>41.993000000000002</v>
      </c>
      <c r="H29" s="5">
        <v>192.11</v>
      </c>
      <c r="I29" s="5">
        <v>5.5720000000000001</v>
      </c>
      <c r="J29" s="5">
        <v>1398.8530000000001</v>
      </c>
      <c r="K29" s="5">
        <v>90.498999999999995</v>
      </c>
      <c r="L29" s="5" t="s">
        <v>128</v>
      </c>
      <c r="M29" s="5">
        <v>57056.133000000002</v>
      </c>
      <c r="N29" s="5">
        <v>16.501000000000001</v>
      </c>
      <c r="O29" s="5">
        <v>2920.5459999999998</v>
      </c>
      <c r="P29" s="5" t="s">
        <v>128</v>
      </c>
      <c r="Q29" s="5">
        <v>17.745000000000001</v>
      </c>
      <c r="R29" s="5" t="s">
        <v>128</v>
      </c>
      <c r="S29" s="5">
        <v>18.492000000000001</v>
      </c>
      <c r="T29" s="5">
        <v>1192.8330000000001</v>
      </c>
      <c r="U29" s="5" t="s">
        <v>128</v>
      </c>
      <c r="V29" s="5">
        <v>788.61099999999999</v>
      </c>
      <c r="W29" s="5" t="s">
        <v>128</v>
      </c>
      <c r="X29" s="5" t="s">
        <v>128</v>
      </c>
      <c r="Y29" s="5">
        <v>971.92399999999998</v>
      </c>
    </row>
    <row r="30" spans="1:25" x14ac:dyDescent="0.25">
      <c r="B30" s="16" t="s">
        <v>122</v>
      </c>
      <c r="C30" s="1" t="s">
        <v>114</v>
      </c>
      <c r="D30" s="1" t="s">
        <v>81</v>
      </c>
      <c r="E30" s="5">
        <v>21.902000000000001</v>
      </c>
      <c r="F30" s="5">
        <v>154.53800000000001</v>
      </c>
      <c r="G30" s="5">
        <v>66.391999999999996</v>
      </c>
      <c r="H30" s="5">
        <v>71.489000000000004</v>
      </c>
      <c r="I30" s="5">
        <v>4.1349999999999998</v>
      </c>
      <c r="J30" s="5">
        <v>959.11300000000006</v>
      </c>
      <c r="K30" s="5">
        <v>110.51600000000001</v>
      </c>
      <c r="L30" s="5" t="s">
        <v>128</v>
      </c>
      <c r="M30" s="5">
        <v>46337.071000000004</v>
      </c>
      <c r="N30" s="5">
        <v>10.433999999999999</v>
      </c>
      <c r="O30" s="5">
        <v>1283.0340000000001</v>
      </c>
      <c r="P30" s="5" t="s">
        <v>128</v>
      </c>
      <c r="Q30" s="5">
        <v>20.474</v>
      </c>
      <c r="R30" s="5">
        <v>2.2000000000000002</v>
      </c>
      <c r="S30" s="5">
        <v>11.582000000000001</v>
      </c>
      <c r="T30" s="5">
        <v>570.505</v>
      </c>
      <c r="U30" s="5" t="s">
        <v>128</v>
      </c>
      <c r="V30" s="5">
        <v>1115.98</v>
      </c>
      <c r="W30" s="5" t="s">
        <v>128</v>
      </c>
      <c r="X30" s="5" t="s">
        <v>128</v>
      </c>
      <c r="Y30" s="17">
        <v>106304.83</v>
      </c>
    </row>
    <row r="31" spans="1:25" x14ac:dyDescent="0.25">
      <c r="B31" s="16" t="s">
        <v>122</v>
      </c>
      <c r="C31" s="1" t="s">
        <v>115</v>
      </c>
      <c r="D31" s="1" t="s">
        <v>82</v>
      </c>
      <c r="E31" s="5">
        <v>10.156000000000001</v>
      </c>
      <c r="F31" s="5">
        <v>223.84299999999999</v>
      </c>
      <c r="G31" s="5">
        <v>29.84</v>
      </c>
      <c r="H31" s="5">
        <v>1290.5050000000001</v>
      </c>
      <c r="I31" s="5">
        <v>4.9820000000000002</v>
      </c>
      <c r="J31" s="5">
        <v>917.846</v>
      </c>
      <c r="K31" s="5">
        <v>107.97499999999999</v>
      </c>
      <c r="L31" s="5" t="s">
        <v>128</v>
      </c>
      <c r="M31" s="5">
        <v>51655.512000000002</v>
      </c>
      <c r="N31" s="5">
        <v>11.493</v>
      </c>
      <c r="O31" s="5">
        <v>1719.576</v>
      </c>
      <c r="P31" s="5" t="s">
        <v>128</v>
      </c>
      <c r="Q31" s="5">
        <v>17.736000000000001</v>
      </c>
      <c r="R31" s="5" t="s">
        <v>128</v>
      </c>
      <c r="S31" s="5">
        <v>20.023</v>
      </c>
      <c r="T31" s="5">
        <v>676.42700000000002</v>
      </c>
      <c r="U31" s="5" t="s">
        <v>128</v>
      </c>
      <c r="V31" s="5">
        <v>654.94000000000005</v>
      </c>
      <c r="W31" s="5" t="s">
        <v>128</v>
      </c>
      <c r="X31" s="5" t="s">
        <v>128</v>
      </c>
      <c r="Y31" s="17">
        <v>71076.36</v>
      </c>
    </row>
    <row r="32" spans="1:25" x14ac:dyDescent="0.25">
      <c r="B32" s="15"/>
      <c r="C32" s="1" t="s">
        <v>116</v>
      </c>
      <c r="D32" s="1" t="s">
        <v>83</v>
      </c>
      <c r="E32" s="5" t="s">
        <v>128</v>
      </c>
      <c r="F32" s="5">
        <v>151.03299999999999</v>
      </c>
      <c r="G32" s="5">
        <v>32.881999999999998</v>
      </c>
      <c r="H32" s="5">
        <v>40.554000000000002</v>
      </c>
      <c r="I32" s="5">
        <v>13.247</v>
      </c>
      <c r="J32" s="5">
        <v>945.77</v>
      </c>
      <c r="K32" s="5">
        <v>30.481000000000002</v>
      </c>
      <c r="L32" s="5" t="s">
        <v>128</v>
      </c>
      <c r="M32" s="5">
        <v>46490.300999999999</v>
      </c>
      <c r="N32" s="5">
        <v>10.978</v>
      </c>
      <c r="O32" s="5">
        <v>927.36199999999997</v>
      </c>
      <c r="P32" s="5" t="s">
        <v>128</v>
      </c>
      <c r="Q32" s="5" t="s">
        <v>128</v>
      </c>
      <c r="R32" s="5" t="s">
        <v>128</v>
      </c>
      <c r="S32" s="5">
        <v>4.6369999999999996</v>
      </c>
      <c r="T32" s="5">
        <v>374.28800000000001</v>
      </c>
      <c r="U32" s="5" t="s">
        <v>128</v>
      </c>
      <c r="V32" s="5">
        <v>270.91800000000001</v>
      </c>
      <c r="W32" s="5" t="s">
        <v>128</v>
      </c>
      <c r="X32" s="5" t="s">
        <v>128</v>
      </c>
      <c r="Y32" s="5">
        <v>34.54</v>
      </c>
    </row>
    <row r="33" spans="2:25" x14ac:dyDescent="0.25">
      <c r="B33" s="15"/>
      <c r="C33" s="1" t="s">
        <v>117</v>
      </c>
      <c r="D33" s="1" t="s">
        <v>84</v>
      </c>
      <c r="E33" s="5">
        <v>14.965999999999999</v>
      </c>
      <c r="F33" s="5">
        <v>211.184</v>
      </c>
      <c r="G33" s="5">
        <v>57.241999999999997</v>
      </c>
      <c r="H33" s="5" t="s">
        <v>128</v>
      </c>
      <c r="I33" s="5">
        <v>5.9169999999999998</v>
      </c>
      <c r="J33" s="5">
        <v>799.64099999999996</v>
      </c>
      <c r="K33" s="5">
        <v>59.667000000000002</v>
      </c>
      <c r="L33" s="5" t="s">
        <v>128</v>
      </c>
      <c r="M33" s="5">
        <v>67851.909</v>
      </c>
      <c r="N33" s="5" t="s">
        <v>128</v>
      </c>
      <c r="O33" s="5">
        <v>5140.6790000000001</v>
      </c>
      <c r="P33" s="5" t="s">
        <v>128</v>
      </c>
      <c r="Q33" s="5">
        <v>10.244</v>
      </c>
      <c r="R33" s="5">
        <v>1.847</v>
      </c>
      <c r="S33" s="5">
        <v>8.0839999999999996</v>
      </c>
      <c r="T33" s="5">
        <v>773.18799999999999</v>
      </c>
      <c r="U33" s="5">
        <v>15.686999999999999</v>
      </c>
      <c r="V33" s="5">
        <v>609.48699999999997</v>
      </c>
      <c r="W33" s="5" t="s">
        <v>128</v>
      </c>
      <c r="X33" s="5" t="s">
        <v>128</v>
      </c>
      <c r="Y33" s="5">
        <v>1491.0650000000001</v>
      </c>
    </row>
    <row r="34" spans="2:25" x14ac:dyDescent="0.25">
      <c r="B34" s="15"/>
      <c r="C34" s="1" t="s">
        <v>118</v>
      </c>
      <c r="D34" s="1" t="s">
        <v>85</v>
      </c>
      <c r="E34" s="5" t="s">
        <v>128</v>
      </c>
      <c r="F34" s="5">
        <v>236.88200000000001</v>
      </c>
      <c r="G34" s="5">
        <v>35.831000000000003</v>
      </c>
      <c r="H34" s="5">
        <v>44.59</v>
      </c>
      <c r="I34" s="5">
        <v>6.59</v>
      </c>
      <c r="J34" s="5">
        <v>1531.8030000000001</v>
      </c>
      <c r="K34" s="5">
        <v>67.254000000000005</v>
      </c>
      <c r="L34" s="5" t="s">
        <v>128</v>
      </c>
      <c r="M34" s="5">
        <v>53943.142999999996</v>
      </c>
      <c r="N34" s="5">
        <v>12.664</v>
      </c>
      <c r="O34" s="5">
        <v>2279.201</v>
      </c>
      <c r="P34" s="5" t="s">
        <v>128</v>
      </c>
      <c r="Q34" s="5">
        <v>10.853999999999999</v>
      </c>
      <c r="R34" s="5" t="s">
        <v>128</v>
      </c>
      <c r="S34" s="5">
        <v>13.038</v>
      </c>
      <c r="T34" s="5">
        <v>1153.9570000000001</v>
      </c>
      <c r="U34" s="5">
        <v>13.662000000000001</v>
      </c>
      <c r="V34" s="5">
        <v>838.35699999999997</v>
      </c>
      <c r="W34" s="5" t="s">
        <v>128</v>
      </c>
      <c r="X34" s="5" t="s">
        <v>128</v>
      </c>
      <c r="Y34" s="5">
        <v>4106.0929999999998</v>
      </c>
    </row>
    <row r="35" spans="2:25" x14ac:dyDescent="0.25">
      <c r="B35" s="15"/>
      <c r="C35" s="1" t="s">
        <v>119</v>
      </c>
      <c r="D35" s="1" t="s">
        <v>86</v>
      </c>
      <c r="E35" s="5" t="s">
        <v>128</v>
      </c>
      <c r="F35" s="5">
        <v>181.40799999999999</v>
      </c>
      <c r="G35" s="5" t="s">
        <v>128</v>
      </c>
      <c r="H35" s="5">
        <v>51.396000000000001</v>
      </c>
      <c r="I35" s="5">
        <v>12.417</v>
      </c>
      <c r="J35" s="5">
        <v>917.18299999999999</v>
      </c>
      <c r="K35" s="5">
        <v>34.033999999999999</v>
      </c>
      <c r="L35" s="5" t="s">
        <v>128</v>
      </c>
      <c r="M35" s="5">
        <v>46818.137999999999</v>
      </c>
      <c r="N35" s="5" t="s">
        <v>128</v>
      </c>
      <c r="O35" s="5">
        <v>798.81100000000004</v>
      </c>
      <c r="P35" s="5" t="s">
        <v>128</v>
      </c>
      <c r="Q35" s="5" t="s">
        <v>128</v>
      </c>
      <c r="R35" s="5" t="s">
        <v>128</v>
      </c>
      <c r="S35" s="5">
        <v>4.109</v>
      </c>
      <c r="T35" s="5">
        <v>323.52</v>
      </c>
      <c r="U35" s="5" t="s">
        <v>128</v>
      </c>
      <c r="V35" s="5">
        <v>258.113</v>
      </c>
      <c r="W35" s="5" t="s">
        <v>128</v>
      </c>
      <c r="X35" s="5" t="s">
        <v>128</v>
      </c>
      <c r="Y35" s="5" t="s">
        <v>128</v>
      </c>
    </row>
    <row r="38" spans="2:25" ht="45.75" thickBot="1" x14ac:dyDescent="0.3">
      <c r="D38" s="8"/>
      <c r="E38" s="6" t="s">
        <v>0</v>
      </c>
      <c r="F38" s="6" t="s">
        <v>1</v>
      </c>
      <c r="G38" s="6" t="s">
        <v>2</v>
      </c>
      <c r="H38" s="6" t="s">
        <v>3</v>
      </c>
      <c r="I38" s="6" t="s">
        <v>4</v>
      </c>
      <c r="J38" s="6" t="s">
        <v>5</v>
      </c>
      <c r="K38" s="6" t="s">
        <v>6</v>
      </c>
      <c r="L38" s="6" t="s">
        <v>7</v>
      </c>
      <c r="M38" s="6" t="s">
        <v>8</v>
      </c>
      <c r="N38" s="6" t="s">
        <v>9</v>
      </c>
      <c r="O38" s="6" t="s">
        <v>10</v>
      </c>
      <c r="P38" s="6" t="s">
        <v>11</v>
      </c>
      <c r="Q38" s="6" t="s">
        <v>12</v>
      </c>
      <c r="R38" s="6" t="s">
        <v>13</v>
      </c>
      <c r="S38" s="6" t="s">
        <v>14</v>
      </c>
      <c r="T38" s="6" t="s">
        <v>15</v>
      </c>
      <c r="U38" s="6" t="s">
        <v>16</v>
      </c>
      <c r="V38" s="6" t="s">
        <v>17</v>
      </c>
      <c r="W38" s="6" t="s">
        <v>18</v>
      </c>
      <c r="X38" s="6" t="s">
        <v>19</v>
      </c>
      <c r="Y38" s="6" t="s">
        <v>20</v>
      </c>
    </row>
    <row r="39" spans="2:25" ht="15.75" thickTop="1" x14ac:dyDescent="0.25">
      <c r="C39" s="33" t="s">
        <v>49</v>
      </c>
      <c r="D39" s="9" t="s">
        <v>50</v>
      </c>
      <c r="E39" s="10">
        <v>7.5</v>
      </c>
      <c r="F39" s="10">
        <v>7.5</v>
      </c>
      <c r="G39" s="10">
        <v>10</v>
      </c>
      <c r="H39" s="10">
        <v>18.75</v>
      </c>
      <c r="I39" s="10">
        <v>0.5</v>
      </c>
      <c r="J39" s="10">
        <v>15</v>
      </c>
      <c r="K39" s="10">
        <v>5</v>
      </c>
      <c r="L39" s="10">
        <v>1</v>
      </c>
      <c r="M39" s="10">
        <v>300</v>
      </c>
      <c r="N39" s="10">
        <v>10</v>
      </c>
      <c r="O39" s="10">
        <v>112.5</v>
      </c>
      <c r="P39" s="10">
        <v>0.5</v>
      </c>
      <c r="Q39" s="10">
        <v>2.5</v>
      </c>
      <c r="R39" s="10">
        <v>1</v>
      </c>
      <c r="S39" s="10">
        <v>2.5</v>
      </c>
      <c r="T39" s="10">
        <v>50</v>
      </c>
      <c r="U39" s="10">
        <v>12.5</v>
      </c>
      <c r="V39" s="10">
        <v>22.5</v>
      </c>
      <c r="W39" s="10">
        <v>2.5</v>
      </c>
      <c r="X39" s="10">
        <v>0.5</v>
      </c>
      <c r="Y39" s="11">
        <v>22.5</v>
      </c>
    </row>
    <row r="40" spans="2:25" ht="15.75" thickBot="1" x14ac:dyDescent="0.3">
      <c r="C40" s="33"/>
      <c r="D40" s="12" t="s">
        <v>51</v>
      </c>
      <c r="E40" s="13">
        <v>750</v>
      </c>
      <c r="F40" s="13">
        <v>1500</v>
      </c>
      <c r="G40" s="13">
        <v>1000</v>
      </c>
      <c r="H40" s="13">
        <v>12500</v>
      </c>
      <c r="I40" s="13">
        <v>100</v>
      </c>
      <c r="J40" s="13">
        <v>10000</v>
      </c>
      <c r="K40" s="13">
        <v>1000</v>
      </c>
      <c r="L40" s="13">
        <v>100</v>
      </c>
      <c r="M40" s="13">
        <v>200000</v>
      </c>
      <c r="N40" s="13">
        <v>2000</v>
      </c>
      <c r="O40" s="13">
        <v>75000</v>
      </c>
      <c r="P40" s="13">
        <v>100</v>
      </c>
      <c r="Q40" s="13">
        <v>500</v>
      </c>
      <c r="R40" s="13">
        <v>100</v>
      </c>
      <c r="S40" s="13">
        <v>500</v>
      </c>
      <c r="T40" s="13">
        <v>10000</v>
      </c>
      <c r="U40" s="13">
        <v>2500</v>
      </c>
      <c r="V40" s="13">
        <v>15000</v>
      </c>
      <c r="W40" s="13">
        <v>250</v>
      </c>
      <c r="X40" s="13">
        <v>100</v>
      </c>
      <c r="Y40" s="14">
        <v>15000</v>
      </c>
    </row>
    <row r="41" spans="2:25" ht="15.75" thickTop="1" x14ac:dyDescent="0.25"/>
  </sheetData>
  <mergeCells count="2">
    <mergeCell ref="E1:Y1"/>
    <mergeCell ref="C39:C40"/>
  </mergeCells>
  <phoneticPr fontId="5" type="noConversion"/>
  <conditionalFormatting sqref="B2:D2">
    <cfRule type="containsText" dxfId="8" priority="1" operator="containsText" text="&gt; ULOQ">
      <formula>NOT(ISERROR(SEARCH("&gt; ULOQ",B2)))</formula>
    </cfRule>
    <cfRule type="containsText" dxfId="7" priority="2" operator="containsText" text="&lt; LLOQ">
      <formula>NOT(ISERROR(SEARCH("&lt; LLOQ",B2)))</formula>
    </cfRule>
    <cfRule type="cellIs" dxfId="6" priority="3" operator="equal">
      <formula>"&gt; ULOQ"</formula>
    </cfRule>
    <cfRule type="containsText" dxfId="5" priority="4" operator="containsText" text="&lt; LLOQ">
      <formula>NOT(ISERROR(SEARCH("&lt; LLOQ",B2)))</formula>
    </cfRule>
  </conditionalFormatting>
  <conditionalFormatting sqref="D3:Y35 E2:Y2 E38:Y38">
    <cfRule type="cellIs" dxfId="4" priority="15" operator="equal">
      <formula>0</formula>
    </cfRule>
  </conditionalFormatting>
  <conditionalFormatting sqref="E3:Y35">
    <cfRule type="containsText" dxfId="3" priority="13" operator="containsText" text="&gt; ULOQ">
      <formula>NOT(ISERROR(SEARCH("&gt; ULOQ",E3)))</formula>
    </cfRule>
    <cfRule type="containsText" dxfId="2" priority="14" operator="containsText" text="&lt; LLOQ">
      <formula>NOT(ISERROR(SEARCH("&lt; LLOQ",E3)))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D663-CEBC-4476-BA60-DEB483541506}">
  <sheetPr codeName="Feuil6">
    <tabColor rgb="FF00B050"/>
  </sheetPr>
  <dimension ref="A2:Q33"/>
  <sheetViews>
    <sheetView zoomScale="70" zoomScaleNormal="70" workbookViewId="0">
      <selection activeCell="F21" sqref="F21"/>
    </sheetView>
  </sheetViews>
  <sheetFormatPr defaultColWidth="11.42578125" defaultRowHeight="15" x14ac:dyDescent="0.25"/>
  <cols>
    <col min="1" max="1" width="19.42578125" style="8" customWidth="1"/>
    <col min="2" max="2" width="21.85546875" style="8" bestFit="1" customWidth="1"/>
    <col min="3" max="4" width="19.28515625" style="8" customWidth="1"/>
    <col min="5" max="5" width="9.140625" style="8" customWidth="1"/>
    <col min="6" max="6" width="19.28515625" style="8" customWidth="1"/>
    <col min="7" max="7" width="9.140625" style="8" customWidth="1"/>
    <col min="8" max="9" width="19.28515625" style="8" customWidth="1"/>
    <col min="10" max="10" width="9.140625" style="8" customWidth="1"/>
    <col min="11" max="11" width="19.28515625" style="8" customWidth="1"/>
    <col min="12" max="12" width="9.140625" style="8" customWidth="1"/>
    <col min="13" max="14" width="19.28515625" style="8" customWidth="1"/>
    <col min="15" max="15" width="9.140625" style="8" customWidth="1"/>
    <col min="16" max="16" width="19.28515625" style="8" customWidth="1"/>
    <col min="17" max="17" width="9.140625" style="8" customWidth="1"/>
    <col min="18" max="16384" width="11.42578125" style="8"/>
  </cols>
  <sheetData>
    <row r="2" spans="1:17" ht="15.75" thickBot="1" x14ac:dyDescent="0.3"/>
    <row r="3" spans="1:17" ht="15.75" thickTop="1" x14ac:dyDescent="0.25">
      <c r="C3" s="34" t="s">
        <v>39</v>
      </c>
      <c r="D3" s="35"/>
      <c r="E3" s="35"/>
      <c r="F3" s="35"/>
      <c r="G3" s="36"/>
      <c r="H3" s="37" t="s">
        <v>40</v>
      </c>
      <c r="I3" s="35"/>
      <c r="J3" s="35"/>
      <c r="K3" s="35"/>
      <c r="L3" s="38"/>
      <c r="M3" s="34" t="s">
        <v>41</v>
      </c>
      <c r="N3" s="35"/>
      <c r="O3" s="35"/>
      <c r="P3" s="35"/>
      <c r="Q3" s="36"/>
    </row>
    <row r="4" spans="1:17" x14ac:dyDescent="0.25">
      <c r="C4" s="39" t="s">
        <v>42</v>
      </c>
      <c r="D4" s="40" t="s">
        <v>43</v>
      </c>
      <c r="E4" s="40"/>
      <c r="F4" s="40" t="s">
        <v>44</v>
      </c>
      <c r="G4" s="41"/>
      <c r="H4" s="42" t="s">
        <v>42</v>
      </c>
      <c r="I4" s="40" t="s">
        <v>43</v>
      </c>
      <c r="J4" s="40"/>
      <c r="K4" s="40" t="s">
        <v>44</v>
      </c>
      <c r="L4" s="43"/>
      <c r="M4" s="39" t="s">
        <v>42</v>
      </c>
      <c r="N4" s="40" t="s">
        <v>43</v>
      </c>
      <c r="O4" s="40"/>
      <c r="P4" s="40" t="s">
        <v>44</v>
      </c>
      <c r="Q4" s="41"/>
    </row>
    <row r="5" spans="1:17" ht="45" x14ac:dyDescent="0.25">
      <c r="C5" s="39"/>
      <c r="D5" s="19" t="s">
        <v>45</v>
      </c>
      <c r="E5" s="18" t="s">
        <v>46</v>
      </c>
      <c r="F5" s="19" t="s">
        <v>45</v>
      </c>
      <c r="G5" s="20" t="s">
        <v>46</v>
      </c>
      <c r="H5" s="42"/>
      <c r="I5" s="19" t="s">
        <v>45</v>
      </c>
      <c r="J5" s="18" t="s">
        <v>46</v>
      </c>
      <c r="K5" s="19" t="s">
        <v>45</v>
      </c>
      <c r="L5" s="21" t="s">
        <v>46</v>
      </c>
      <c r="M5" s="39"/>
      <c r="N5" s="19" t="s">
        <v>45</v>
      </c>
      <c r="O5" s="18" t="s">
        <v>46</v>
      </c>
      <c r="P5" s="19" t="s">
        <v>45</v>
      </c>
      <c r="Q5" s="20" t="s">
        <v>46</v>
      </c>
    </row>
    <row r="6" spans="1:17" x14ac:dyDescent="0.25">
      <c r="A6" s="40" t="s">
        <v>47</v>
      </c>
      <c r="B6" s="22" t="s">
        <v>0</v>
      </c>
      <c r="C6" s="23">
        <v>30</v>
      </c>
      <c r="D6" s="24">
        <v>30.295000000000002</v>
      </c>
      <c r="E6" s="18">
        <v>1</v>
      </c>
      <c r="F6" s="24">
        <v>33.146999999999998</v>
      </c>
      <c r="G6" s="20">
        <v>10.5</v>
      </c>
      <c r="H6" s="25">
        <v>300</v>
      </c>
      <c r="I6" s="24">
        <v>332.22899999999998</v>
      </c>
      <c r="J6" s="18">
        <v>10.7</v>
      </c>
      <c r="K6" s="24">
        <v>317.56099999999998</v>
      </c>
      <c r="L6" s="21">
        <v>5.9</v>
      </c>
      <c r="M6" s="23">
        <v>600</v>
      </c>
      <c r="N6" s="24">
        <v>632.471</v>
      </c>
      <c r="O6" s="18">
        <v>5.4</v>
      </c>
      <c r="P6" s="24">
        <v>622.23400000000004</v>
      </c>
      <c r="Q6" s="20">
        <v>3.7</v>
      </c>
    </row>
    <row r="7" spans="1:17" x14ac:dyDescent="0.25">
      <c r="A7" s="40"/>
      <c r="B7" s="22" t="s">
        <v>1</v>
      </c>
      <c r="C7" s="23">
        <v>60</v>
      </c>
      <c r="D7" s="24">
        <v>54.972000000000001</v>
      </c>
      <c r="E7" s="18">
        <v>-8.4</v>
      </c>
      <c r="F7" s="24">
        <v>53.061</v>
      </c>
      <c r="G7" s="20">
        <v>-11.6</v>
      </c>
      <c r="H7" s="25">
        <v>600</v>
      </c>
      <c r="I7" s="24">
        <v>630.93100000000004</v>
      </c>
      <c r="J7" s="18">
        <v>5.2</v>
      </c>
      <c r="K7" s="24">
        <v>598.86</v>
      </c>
      <c r="L7" s="21">
        <v>-0.2</v>
      </c>
      <c r="M7" s="23">
        <v>1200</v>
      </c>
      <c r="N7" s="24">
        <v>1184.6020000000001</v>
      </c>
      <c r="O7" s="18">
        <v>-1.3</v>
      </c>
      <c r="P7" s="24">
        <v>1128.0999999999999</v>
      </c>
      <c r="Q7" s="20">
        <v>-6</v>
      </c>
    </row>
    <row r="8" spans="1:17" x14ac:dyDescent="0.25">
      <c r="A8" s="40"/>
      <c r="B8" s="22" t="s">
        <v>2</v>
      </c>
      <c r="C8" s="23">
        <v>40</v>
      </c>
      <c r="D8" s="24">
        <v>44.167000000000002</v>
      </c>
      <c r="E8" s="18">
        <v>10.4</v>
      </c>
      <c r="F8" s="24">
        <v>37.606999999999999</v>
      </c>
      <c r="G8" s="20">
        <v>-6</v>
      </c>
      <c r="H8" s="25">
        <v>400</v>
      </c>
      <c r="I8" s="24">
        <v>435.22199999999998</v>
      </c>
      <c r="J8" s="18">
        <v>8.8000000000000007</v>
      </c>
      <c r="K8" s="24">
        <v>403.28899999999999</v>
      </c>
      <c r="L8" s="21">
        <v>0.8</v>
      </c>
      <c r="M8" s="23">
        <v>800</v>
      </c>
      <c r="N8" s="24">
        <v>809.03800000000001</v>
      </c>
      <c r="O8" s="18">
        <v>1.1000000000000001</v>
      </c>
      <c r="P8" s="24">
        <v>739.49400000000003</v>
      </c>
      <c r="Q8" s="20">
        <v>-7.6</v>
      </c>
    </row>
    <row r="9" spans="1:17" x14ac:dyDescent="0.25">
      <c r="A9" s="40"/>
      <c r="B9" s="22" t="s">
        <v>3</v>
      </c>
      <c r="C9" s="23">
        <v>500</v>
      </c>
      <c r="D9" s="24">
        <v>459.69</v>
      </c>
      <c r="E9" s="18">
        <v>-8.1</v>
      </c>
      <c r="F9" s="24">
        <v>452.435</v>
      </c>
      <c r="G9" s="20">
        <v>-9.5</v>
      </c>
      <c r="H9" s="25">
        <v>5000</v>
      </c>
      <c r="I9" s="24">
        <v>5329.6989999999996</v>
      </c>
      <c r="J9" s="18">
        <v>6.6</v>
      </c>
      <c r="K9" s="24">
        <v>5205.5200000000004</v>
      </c>
      <c r="L9" s="21">
        <v>4.0999999999999996</v>
      </c>
      <c r="M9" s="23">
        <v>10000</v>
      </c>
      <c r="N9" s="24">
        <v>9568.3709999999992</v>
      </c>
      <c r="O9" s="18">
        <v>-4.3</v>
      </c>
      <c r="P9" s="24">
        <v>9123.741</v>
      </c>
      <c r="Q9" s="20">
        <v>-8.8000000000000007</v>
      </c>
    </row>
    <row r="10" spans="1:17" x14ac:dyDescent="0.25">
      <c r="A10" s="40"/>
      <c r="B10" s="22" t="s">
        <v>4</v>
      </c>
      <c r="C10" s="23">
        <v>4</v>
      </c>
      <c r="D10" s="24">
        <v>4.3970000000000002</v>
      </c>
      <c r="E10" s="18">
        <v>9.9</v>
      </c>
      <c r="F10" s="24">
        <v>4.056</v>
      </c>
      <c r="G10" s="20">
        <v>1.4</v>
      </c>
      <c r="H10" s="25">
        <v>40</v>
      </c>
      <c r="I10" s="24">
        <v>42.99</v>
      </c>
      <c r="J10" s="18">
        <v>7.5</v>
      </c>
      <c r="K10" s="24">
        <v>39.853999999999999</v>
      </c>
      <c r="L10" s="21">
        <v>-0.4</v>
      </c>
      <c r="M10" s="23">
        <v>80</v>
      </c>
      <c r="N10" s="24">
        <v>82.745000000000005</v>
      </c>
      <c r="O10" s="18">
        <v>3.4</v>
      </c>
      <c r="P10" s="24">
        <v>82.078999999999994</v>
      </c>
      <c r="Q10" s="20">
        <v>2.6</v>
      </c>
    </row>
    <row r="11" spans="1:17" x14ac:dyDescent="0.25">
      <c r="A11" s="40"/>
      <c r="B11" s="22" t="s">
        <v>5</v>
      </c>
      <c r="C11" s="23">
        <v>400</v>
      </c>
      <c r="D11" s="24">
        <v>354.86099999999999</v>
      </c>
      <c r="E11" s="18">
        <v>-11.3</v>
      </c>
      <c r="F11" s="24">
        <v>404.75799999999998</v>
      </c>
      <c r="G11" s="20">
        <v>1.2</v>
      </c>
      <c r="H11" s="25">
        <v>4000</v>
      </c>
      <c r="I11" s="24">
        <v>4388.5709999999999</v>
      </c>
      <c r="J11" s="18">
        <v>9.6999999999999993</v>
      </c>
      <c r="K11" s="24">
        <v>4439.6899999999996</v>
      </c>
      <c r="L11" s="21">
        <v>11</v>
      </c>
      <c r="M11" s="23">
        <v>8000</v>
      </c>
      <c r="N11" s="24">
        <v>8057.2960000000003</v>
      </c>
      <c r="O11" s="18">
        <v>0.7</v>
      </c>
      <c r="P11" s="24">
        <v>8137.8879999999999</v>
      </c>
      <c r="Q11" s="20">
        <v>1.7</v>
      </c>
    </row>
    <row r="12" spans="1:17" x14ac:dyDescent="0.25">
      <c r="A12" s="40"/>
      <c r="B12" s="22" t="s">
        <v>6</v>
      </c>
      <c r="C12" s="23">
        <v>40</v>
      </c>
      <c r="D12" s="24">
        <v>42.15</v>
      </c>
      <c r="E12" s="18">
        <v>5.4</v>
      </c>
      <c r="F12" s="24">
        <v>42.393000000000001</v>
      </c>
      <c r="G12" s="20">
        <v>6</v>
      </c>
      <c r="H12" s="25">
        <v>400</v>
      </c>
      <c r="I12" s="24">
        <v>431.44499999999999</v>
      </c>
      <c r="J12" s="18">
        <v>7.9</v>
      </c>
      <c r="K12" s="24">
        <v>448.57600000000002</v>
      </c>
      <c r="L12" s="21">
        <v>12.1</v>
      </c>
      <c r="M12" s="23">
        <v>800</v>
      </c>
      <c r="N12" s="24">
        <v>894.35500000000002</v>
      </c>
      <c r="O12" s="18">
        <v>11.8</v>
      </c>
      <c r="P12" s="24">
        <v>892.35699999999997</v>
      </c>
      <c r="Q12" s="20">
        <v>11.5</v>
      </c>
    </row>
    <row r="13" spans="1:17" x14ac:dyDescent="0.25">
      <c r="A13" s="40"/>
      <c r="B13" s="22" t="s">
        <v>7</v>
      </c>
      <c r="C13" s="23">
        <v>4</v>
      </c>
      <c r="D13" s="24">
        <v>3.8450000000000002</v>
      </c>
      <c r="E13" s="18">
        <v>-3.9</v>
      </c>
      <c r="F13" s="24">
        <v>4.1020000000000003</v>
      </c>
      <c r="G13" s="20">
        <v>2.6</v>
      </c>
      <c r="H13" s="25">
        <v>40</v>
      </c>
      <c r="I13" s="24">
        <v>43.348999999999997</v>
      </c>
      <c r="J13" s="18">
        <v>8.4</v>
      </c>
      <c r="K13" s="24">
        <v>41.737000000000002</v>
      </c>
      <c r="L13" s="21">
        <v>4.3</v>
      </c>
      <c r="M13" s="23">
        <v>80</v>
      </c>
      <c r="N13" s="24">
        <v>86.393000000000001</v>
      </c>
      <c r="O13" s="18">
        <v>8</v>
      </c>
      <c r="P13" s="24">
        <v>80.257000000000005</v>
      </c>
      <c r="Q13" s="20">
        <v>0.3</v>
      </c>
    </row>
    <row r="14" spans="1:17" x14ac:dyDescent="0.25">
      <c r="A14" s="40"/>
      <c r="B14" s="22" t="s">
        <v>8</v>
      </c>
      <c r="C14" s="23">
        <v>8000</v>
      </c>
      <c r="D14" s="24">
        <v>7586.1610000000001</v>
      </c>
      <c r="E14" s="18">
        <v>-5.2</v>
      </c>
      <c r="F14" s="24">
        <v>7296.982</v>
      </c>
      <c r="G14" s="20">
        <v>-8.8000000000000007</v>
      </c>
      <c r="H14" s="25">
        <v>80000</v>
      </c>
      <c r="I14" s="24">
        <v>83103.229000000007</v>
      </c>
      <c r="J14" s="18">
        <v>3.9</v>
      </c>
      <c r="K14" s="24">
        <v>84740.235000000001</v>
      </c>
      <c r="L14" s="21">
        <v>5.9</v>
      </c>
      <c r="M14" s="23">
        <v>160000</v>
      </c>
      <c r="N14" s="24">
        <v>166885.99799999999</v>
      </c>
      <c r="O14" s="18">
        <v>4.3</v>
      </c>
      <c r="P14" s="24">
        <v>154994.18799999999</v>
      </c>
      <c r="Q14" s="20">
        <v>-3.1</v>
      </c>
    </row>
    <row r="15" spans="1:17" x14ac:dyDescent="0.25">
      <c r="A15" s="40"/>
      <c r="B15" s="22" t="s">
        <v>9</v>
      </c>
      <c r="C15" s="23">
        <v>80</v>
      </c>
      <c r="D15" s="24">
        <v>72.986000000000004</v>
      </c>
      <c r="E15" s="18">
        <v>-8.8000000000000007</v>
      </c>
      <c r="F15" s="24">
        <v>79.527000000000001</v>
      </c>
      <c r="G15" s="20">
        <v>-0.6</v>
      </c>
      <c r="H15" s="25">
        <v>800</v>
      </c>
      <c r="I15" s="24">
        <v>809.00599999999997</v>
      </c>
      <c r="J15" s="18">
        <v>1.1000000000000001</v>
      </c>
      <c r="K15" s="24">
        <v>895.77200000000005</v>
      </c>
      <c r="L15" s="21">
        <v>12</v>
      </c>
      <c r="M15" s="23">
        <v>1600</v>
      </c>
      <c r="N15" s="24">
        <v>1613.9649999999999</v>
      </c>
      <c r="O15" s="18">
        <v>0.9</v>
      </c>
      <c r="P15" s="24">
        <v>1634</v>
      </c>
      <c r="Q15" s="20">
        <v>2.1</v>
      </c>
    </row>
    <row r="16" spans="1:17" x14ac:dyDescent="0.25">
      <c r="A16" s="40"/>
      <c r="B16" s="22" t="s">
        <v>10</v>
      </c>
      <c r="C16" s="23">
        <v>3000</v>
      </c>
      <c r="D16" s="24">
        <v>2908.306</v>
      </c>
      <c r="E16" s="18">
        <v>-3.1</v>
      </c>
      <c r="F16" s="24">
        <v>2937.1869999999999</v>
      </c>
      <c r="G16" s="20">
        <v>-2.1</v>
      </c>
      <c r="H16" s="25">
        <v>30000</v>
      </c>
      <c r="I16" s="24">
        <v>30768.170999999998</v>
      </c>
      <c r="J16" s="18">
        <v>2.6</v>
      </c>
      <c r="K16" s="24">
        <v>29567.8</v>
      </c>
      <c r="L16" s="21">
        <v>-1.4</v>
      </c>
      <c r="M16" s="23">
        <v>60000</v>
      </c>
      <c r="N16" s="24">
        <v>66435.8</v>
      </c>
      <c r="O16" s="18">
        <v>10.7</v>
      </c>
      <c r="P16" s="24">
        <v>61512.485999999997</v>
      </c>
      <c r="Q16" s="20">
        <v>2.5</v>
      </c>
    </row>
    <row r="17" spans="1:17" x14ac:dyDescent="0.25">
      <c r="A17" s="40"/>
      <c r="B17" s="22" t="s">
        <v>11</v>
      </c>
      <c r="C17" s="23">
        <v>4</v>
      </c>
      <c r="D17" s="24">
        <v>3.9180000000000001</v>
      </c>
      <c r="E17" s="18">
        <v>-2.1</v>
      </c>
      <c r="F17" s="24">
        <v>4.0910000000000002</v>
      </c>
      <c r="G17" s="20">
        <v>2.2999999999999998</v>
      </c>
      <c r="H17" s="25">
        <v>40</v>
      </c>
      <c r="I17" s="24">
        <v>41.761000000000003</v>
      </c>
      <c r="J17" s="18">
        <v>4.4000000000000004</v>
      </c>
      <c r="K17" s="24">
        <v>42.639000000000003</v>
      </c>
      <c r="L17" s="21">
        <v>6.6</v>
      </c>
      <c r="M17" s="23">
        <v>80</v>
      </c>
      <c r="N17" s="24">
        <v>84.364999999999995</v>
      </c>
      <c r="O17" s="18">
        <v>5.5</v>
      </c>
      <c r="P17" s="24">
        <v>83.177999999999997</v>
      </c>
      <c r="Q17" s="20">
        <v>4</v>
      </c>
    </row>
    <row r="18" spans="1:17" x14ac:dyDescent="0.25">
      <c r="A18" s="40"/>
      <c r="B18" s="22" t="s">
        <v>12</v>
      </c>
      <c r="C18" s="23">
        <v>20</v>
      </c>
      <c r="D18" s="24">
        <v>19.106000000000002</v>
      </c>
      <c r="E18" s="18">
        <v>-4.5</v>
      </c>
      <c r="F18" s="24">
        <v>20.558</v>
      </c>
      <c r="G18" s="20">
        <v>2.8</v>
      </c>
      <c r="H18" s="25">
        <v>200</v>
      </c>
      <c r="I18" s="24">
        <v>202.55699999999999</v>
      </c>
      <c r="J18" s="18">
        <v>1.3</v>
      </c>
      <c r="K18" s="24">
        <v>210.435</v>
      </c>
      <c r="L18" s="21">
        <v>5.2</v>
      </c>
      <c r="M18" s="23">
        <v>400</v>
      </c>
      <c r="N18" s="24">
        <v>412.09</v>
      </c>
      <c r="O18" s="18">
        <v>3</v>
      </c>
      <c r="P18" s="24">
        <v>399.90899999999999</v>
      </c>
      <c r="Q18" s="20">
        <v>0</v>
      </c>
    </row>
    <row r="19" spans="1:17" x14ac:dyDescent="0.25">
      <c r="A19" s="40"/>
      <c r="B19" s="22" t="s">
        <v>13</v>
      </c>
      <c r="C19" s="23">
        <v>4</v>
      </c>
      <c r="D19" s="24">
        <v>4.3029999999999999</v>
      </c>
      <c r="E19" s="18">
        <v>7.6</v>
      </c>
      <c r="F19" s="24">
        <v>3.5670000000000002</v>
      </c>
      <c r="G19" s="20">
        <v>-10.8</v>
      </c>
      <c r="H19" s="25">
        <v>40</v>
      </c>
      <c r="I19" s="24">
        <v>41.304000000000002</v>
      </c>
      <c r="J19" s="18">
        <v>3.3</v>
      </c>
      <c r="K19" s="24">
        <v>38.576000000000001</v>
      </c>
      <c r="L19" s="21">
        <v>-3.6</v>
      </c>
      <c r="M19" s="23">
        <v>80</v>
      </c>
      <c r="N19" s="24">
        <v>85.322000000000003</v>
      </c>
      <c r="O19" s="18">
        <v>6.7</v>
      </c>
      <c r="P19" s="24">
        <v>75.522000000000006</v>
      </c>
      <c r="Q19" s="20">
        <v>-5.6</v>
      </c>
    </row>
    <row r="20" spans="1:17" x14ac:dyDescent="0.25">
      <c r="A20" s="40"/>
      <c r="B20" s="22" t="s">
        <v>14</v>
      </c>
      <c r="C20" s="23">
        <v>20</v>
      </c>
      <c r="D20" s="24">
        <v>20.452999999999999</v>
      </c>
      <c r="E20" s="18">
        <v>2.2999999999999998</v>
      </c>
      <c r="F20" s="24">
        <v>19.122</v>
      </c>
      <c r="G20" s="20">
        <v>-4.4000000000000004</v>
      </c>
      <c r="H20" s="25">
        <v>200</v>
      </c>
      <c r="I20" s="24">
        <v>201.107</v>
      </c>
      <c r="J20" s="18">
        <v>0.6</v>
      </c>
      <c r="K20" s="24">
        <v>219.947</v>
      </c>
      <c r="L20" s="21">
        <v>10</v>
      </c>
      <c r="M20" s="23">
        <v>400</v>
      </c>
      <c r="N20" s="24">
        <v>404.50900000000001</v>
      </c>
      <c r="O20" s="18">
        <v>1.1000000000000001</v>
      </c>
      <c r="P20" s="24">
        <v>416.78300000000002</v>
      </c>
      <c r="Q20" s="20">
        <v>4.2</v>
      </c>
    </row>
    <row r="21" spans="1:17" x14ac:dyDescent="0.25">
      <c r="A21" s="40"/>
      <c r="B21" s="22" t="s">
        <v>15</v>
      </c>
      <c r="C21" s="23">
        <v>400</v>
      </c>
      <c r="D21" s="24">
        <v>427.65100000000001</v>
      </c>
      <c r="E21" s="18">
        <v>6.9</v>
      </c>
      <c r="F21" s="24">
        <v>354.11500000000001</v>
      </c>
      <c r="G21" s="20">
        <v>-11.5</v>
      </c>
      <c r="H21" s="25">
        <v>4000</v>
      </c>
      <c r="I21" s="24">
        <v>4383.5119999999997</v>
      </c>
      <c r="J21" s="18">
        <v>9.6</v>
      </c>
      <c r="K21" s="24">
        <v>4146.9849999999997</v>
      </c>
      <c r="L21" s="21">
        <v>3.7</v>
      </c>
      <c r="M21" s="23">
        <v>8000</v>
      </c>
      <c r="N21" s="24">
        <v>7957.8239999999996</v>
      </c>
      <c r="O21" s="18">
        <v>-0.5</v>
      </c>
      <c r="P21" s="24">
        <v>7470.6589999999997</v>
      </c>
      <c r="Q21" s="20">
        <v>-6.6</v>
      </c>
    </row>
    <row r="22" spans="1:17" x14ac:dyDescent="0.25">
      <c r="A22" s="40"/>
      <c r="B22" s="22" t="s">
        <v>16</v>
      </c>
      <c r="C22" s="23">
        <v>100</v>
      </c>
      <c r="D22" s="24">
        <v>104.988</v>
      </c>
      <c r="E22" s="18">
        <v>5</v>
      </c>
      <c r="F22" s="24">
        <v>98.567999999999998</v>
      </c>
      <c r="G22" s="20">
        <v>-1.4</v>
      </c>
      <c r="H22" s="25">
        <v>1000</v>
      </c>
      <c r="I22" s="24">
        <v>1050.586</v>
      </c>
      <c r="J22" s="18">
        <v>5.0999999999999996</v>
      </c>
      <c r="K22" s="24">
        <v>1065.0050000000001</v>
      </c>
      <c r="L22" s="21">
        <v>6.5</v>
      </c>
      <c r="M22" s="23">
        <v>2000</v>
      </c>
      <c r="N22" s="24">
        <v>1985.8720000000001</v>
      </c>
      <c r="O22" s="18">
        <v>-0.7</v>
      </c>
      <c r="P22" s="24">
        <v>2057.5659999999998</v>
      </c>
      <c r="Q22" s="20">
        <v>2.9</v>
      </c>
    </row>
    <row r="23" spans="1:17" x14ac:dyDescent="0.25">
      <c r="A23" s="40"/>
      <c r="B23" s="22" t="s">
        <v>17</v>
      </c>
      <c r="C23" s="23">
        <v>600</v>
      </c>
      <c r="D23" s="24">
        <v>570.06299999999999</v>
      </c>
      <c r="E23" s="18">
        <v>-5</v>
      </c>
      <c r="F23" s="24">
        <v>562.14200000000005</v>
      </c>
      <c r="G23" s="20">
        <v>-6.3</v>
      </c>
      <c r="H23" s="25">
        <v>6000</v>
      </c>
      <c r="I23" s="24">
        <v>6267.3630000000003</v>
      </c>
      <c r="J23" s="18">
        <v>4.5</v>
      </c>
      <c r="K23" s="24">
        <v>5777.8980000000001</v>
      </c>
      <c r="L23" s="21">
        <v>-3.7</v>
      </c>
      <c r="M23" s="23">
        <v>12000</v>
      </c>
      <c r="N23" s="24">
        <v>12435.632</v>
      </c>
      <c r="O23" s="18">
        <v>3.6</v>
      </c>
      <c r="P23" s="24">
        <v>11615.182000000001</v>
      </c>
      <c r="Q23" s="20">
        <v>-3.2</v>
      </c>
    </row>
    <row r="24" spans="1:17" x14ac:dyDescent="0.25">
      <c r="A24" s="40"/>
      <c r="B24" s="22" t="s">
        <v>18</v>
      </c>
      <c r="C24" s="23">
        <v>10</v>
      </c>
      <c r="D24" s="24">
        <v>9</v>
      </c>
      <c r="E24" s="18">
        <v>-10</v>
      </c>
      <c r="F24" s="24">
        <v>9.7579999999999991</v>
      </c>
      <c r="G24" s="20">
        <v>-2.4</v>
      </c>
      <c r="H24" s="25">
        <v>100</v>
      </c>
      <c r="I24" s="24">
        <v>109.318</v>
      </c>
      <c r="J24" s="18">
        <v>9.3000000000000007</v>
      </c>
      <c r="K24" s="24">
        <v>101.23</v>
      </c>
      <c r="L24" s="21">
        <v>1.2</v>
      </c>
      <c r="M24" s="23">
        <v>200</v>
      </c>
      <c r="N24" s="24">
        <v>202.25700000000001</v>
      </c>
      <c r="O24" s="18">
        <v>1.1000000000000001</v>
      </c>
      <c r="P24" s="24">
        <v>197.578</v>
      </c>
      <c r="Q24" s="20">
        <v>-1.2</v>
      </c>
    </row>
    <row r="25" spans="1:17" x14ac:dyDescent="0.25">
      <c r="A25" s="40"/>
      <c r="B25" s="22" t="s">
        <v>19</v>
      </c>
      <c r="C25" s="23">
        <v>4</v>
      </c>
      <c r="D25" s="24">
        <v>4.3079999999999998</v>
      </c>
      <c r="E25" s="18">
        <v>7.7</v>
      </c>
      <c r="F25" s="24">
        <v>4.0410000000000004</v>
      </c>
      <c r="G25" s="20">
        <v>1</v>
      </c>
      <c r="H25" s="25">
        <v>40</v>
      </c>
      <c r="I25" s="24">
        <v>42.393000000000001</v>
      </c>
      <c r="J25" s="18">
        <v>6</v>
      </c>
      <c r="K25" s="24">
        <v>40.984999999999999</v>
      </c>
      <c r="L25" s="21">
        <v>2.5</v>
      </c>
      <c r="M25" s="23">
        <v>80</v>
      </c>
      <c r="N25" s="24">
        <v>79.263000000000005</v>
      </c>
      <c r="O25" s="18">
        <v>-0.9</v>
      </c>
      <c r="P25" s="24">
        <v>79.313999999999993</v>
      </c>
      <c r="Q25" s="20">
        <v>-0.9</v>
      </c>
    </row>
    <row r="26" spans="1:17" ht="15.75" thickBot="1" x14ac:dyDescent="0.3">
      <c r="A26" s="40"/>
      <c r="B26" s="22" t="s">
        <v>20</v>
      </c>
      <c r="C26" s="26">
        <v>600</v>
      </c>
      <c r="D26" s="27">
        <v>591.14499999999998</v>
      </c>
      <c r="E26" s="28">
        <v>-1.5</v>
      </c>
      <c r="F26" s="27">
        <v>591.44600000000003</v>
      </c>
      <c r="G26" s="29">
        <v>-1.4</v>
      </c>
      <c r="H26" s="12">
        <v>6000</v>
      </c>
      <c r="I26" s="27">
        <v>6559.6149999999998</v>
      </c>
      <c r="J26" s="28">
        <v>9.3000000000000007</v>
      </c>
      <c r="K26" s="27">
        <v>6303.99</v>
      </c>
      <c r="L26" s="30">
        <v>5.0999999999999996</v>
      </c>
      <c r="M26" s="26">
        <v>12000</v>
      </c>
      <c r="N26" s="27">
        <v>12060.391</v>
      </c>
      <c r="O26" s="28">
        <v>0.5</v>
      </c>
      <c r="P26" s="27">
        <v>11828.941999999999</v>
      </c>
      <c r="Q26" s="29">
        <v>-1.4</v>
      </c>
    </row>
    <row r="27" spans="1:17" ht="15.75" thickTop="1" x14ac:dyDescent="0.25"/>
    <row r="28" spans="1:17" ht="15.75" thickBot="1" x14ac:dyDescent="0.3"/>
    <row r="29" spans="1:17" ht="15.75" thickTop="1" x14ac:dyDescent="0.25">
      <c r="C29" s="34" t="s">
        <v>39</v>
      </c>
      <c r="D29" s="35"/>
      <c r="E29" s="35"/>
      <c r="F29" s="35"/>
      <c r="G29" s="36"/>
      <c r="H29" s="37" t="s">
        <v>40</v>
      </c>
      <c r="I29" s="35"/>
      <c r="J29" s="35"/>
      <c r="K29" s="35"/>
      <c r="L29" s="38"/>
      <c r="M29" s="34" t="s">
        <v>41</v>
      </c>
      <c r="N29" s="35"/>
      <c r="O29" s="35"/>
      <c r="P29" s="35"/>
      <c r="Q29" s="36"/>
    </row>
    <row r="30" spans="1:17" x14ac:dyDescent="0.25">
      <c r="C30" s="39" t="s">
        <v>42</v>
      </c>
      <c r="D30" s="40" t="s">
        <v>43</v>
      </c>
      <c r="E30" s="40"/>
      <c r="F30" s="40" t="s">
        <v>44</v>
      </c>
      <c r="G30" s="41"/>
      <c r="H30" s="42" t="s">
        <v>42</v>
      </c>
      <c r="I30" s="40" t="s">
        <v>43</v>
      </c>
      <c r="J30" s="40"/>
      <c r="K30" s="40" t="s">
        <v>44</v>
      </c>
      <c r="L30" s="43"/>
      <c r="M30" s="39" t="s">
        <v>42</v>
      </c>
      <c r="N30" s="40" t="s">
        <v>43</v>
      </c>
      <c r="O30" s="40"/>
      <c r="P30" s="40" t="s">
        <v>44</v>
      </c>
      <c r="Q30" s="41"/>
    </row>
    <row r="31" spans="1:17" ht="45" x14ac:dyDescent="0.25">
      <c r="C31" s="39"/>
      <c r="D31" s="19" t="s">
        <v>45</v>
      </c>
      <c r="E31" s="18" t="s">
        <v>46</v>
      </c>
      <c r="F31" s="19" t="s">
        <v>45</v>
      </c>
      <c r="G31" s="20" t="s">
        <v>46</v>
      </c>
      <c r="H31" s="42"/>
      <c r="I31" s="19" t="s">
        <v>45</v>
      </c>
      <c r="J31" s="18" t="s">
        <v>46</v>
      </c>
      <c r="K31" s="19" t="s">
        <v>45</v>
      </c>
      <c r="L31" s="21" t="s">
        <v>46</v>
      </c>
      <c r="M31" s="39"/>
      <c r="N31" s="19" t="s">
        <v>45</v>
      </c>
      <c r="O31" s="18" t="s">
        <v>46</v>
      </c>
      <c r="P31" s="19" t="s">
        <v>45</v>
      </c>
      <c r="Q31" s="20" t="s">
        <v>46</v>
      </c>
    </row>
    <row r="32" spans="1:17" ht="36" customHeight="1" thickBot="1" x14ac:dyDescent="0.3">
      <c r="A32" s="18" t="s">
        <v>48</v>
      </c>
      <c r="B32" s="31" t="s">
        <v>20</v>
      </c>
      <c r="C32" s="26">
        <v>600</v>
      </c>
      <c r="D32" s="27">
        <v>583.38599999999997</v>
      </c>
      <c r="E32" s="28">
        <v>-2.8</v>
      </c>
      <c r="F32" s="27">
        <v>580.86800000000005</v>
      </c>
      <c r="G32" s="29">
        <v>-3.2</v>
      </c>
      <c r="H32" s="12">
        <v>6000</v>
      </c>
      <c r="I32" s="27">
        <v>6494.08</v>
      </c>
      <c r="J32" s="28">
        <v>8.1999999999999993</v>
      </c>
      <c r="K32" s="27">
        <v>6215.125</v>
      </c>
      <c r="L32" s="30">
        <v>3.6</v>
      </c>
      <c r="M32" s="26">
        <v>12000</v>
      </c>
      <c r="N32" s="27">
        <v>12385.025</v>
      </c>
      <c r="O32" s="28">
        <v>3.2</v>
      </c>
      <c r="P32" s="27">
        <v>12015.665999999999</v>
      </c>
      <c r="Q32" s="29">
        <v>0.1</v>
      </c>
    </row>
    <row r="33" ht="15.75" thickTop="1" x14ac:dyDescent="0.25"/>
  </sheetData>
  <mergeCells count="25">
    <mergeCell ref="A6:A26"/>
    <mergeCell ref="C29:G29"/>
    <mergeCell ref="H29:L29"/>
    <mergeCell ref="M29:Q29"/>
    <mergeCell ref="M30:M31"/>
    <mergeCell ref="N30:O30"/>
    <mergeCell ref="P30:Q30"/>
    <mergeCell ref="C30:C31"/>
    <mergeCell ref="D30:E30"/>
    <mergeCell ref="F30:G30"/>
    <mergeCell ref="H30:H31"/>
    <mergeCell ref="I30:J30"/>
    <mergeCell ref="K30:L30"/>
    <mergeCell ref="C3:G3"/>
    <mergeCell ref="H3:L3"/>
    <mergeCell ref="M3:Q3"/>
    <mergeCell ref="C4:C5"/>
    <mergeCell ref="D4:E4"/>
    <mergeCell ref="F4:G4"/>
    <mergeCell ref="H4:H5"/>
    <mergeCell ref="I4:J4"/>
    <mergeCell ref="K4:L4"/>
    <mergeCell ref="M4:M5"/>
    <mergeCell ref="N4:O4"/>
    <mergeCell ref="P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0BC4-5CF8-4ADA-ADDB-887943CBBCD7}">
  <sheetPr codeName="Feuil7">
    <tabColor rgb="FF00B050"/>
  </sheetPr>
  <dimension ref="A3:N22"/>
  <sheetViews>
    <sheetView workbookViewId="0">
      <selection activeCell="G9" sqref="G9"/>
    </sheetView>
  </sheetViews>
  <sheetFormatPr defaultColWidth="11.42578125" defaultRowHeight="15" x14ac:dyDescent="0.25"/>
  <cols>
    <col min="1" max="1" width="17.7109375" customWidth="1"/>
    <col min="3" max="14" width="14.28515625" customWidth="1"/>
  </cols>
  <sheetData>
    <row r="3" spans="1:14" ht="24.75" customHeight="1" x14ac:dyDescent="0.25">
      <c r="A3" s="44" t="s">
        <v>47</v>
      </c>
      <c r="B3" s="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</row>
    <row r="4" spans="1:14" ht="24.75" customHeight="1" x14ac:dyDescent="0.25">
      <c r="A4" s="44"/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4" t="s">
        <v>29</v>
      </c>
      <c r="K4" s="4" t="s">
        <v>30</v>
      </c>
      <c r="L4" s="4" t="s">
        <v>31</v>
      </c>
      <c r="M4" s="1"/>
      <c r="N4" s="1"/>
    </row>
    <row r="5" spans="1:14" ht="24.75" customHeight="1" x14ac:dyDescent="0.25">
      <c r="A5" s="44"/>
      <c r="B5" s="2" t="s">
        <v>32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65</v>
      </c>
    </row>
    <row r="6" spans="1:14" ht="24.75" customHeight="1" x14ac:dyDescent="0.25">
      <c r="A6" s="44"/>
      <c r="B6" s="2" t="s">
        <v>33</v>
      </c>
      <c r="C6" s="1" t="s">
        <v>66</v>
      </c>
      <c r="D6" s="1" t="s">
        <v>67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77</v>
      </c>
    </row>
    <row r="7" spans="1:14" ht="24.75" customHeight="1" x14ac:dyDescent="0.25">
      <c r="A7" s="44"/>
      <c r="B7" s="2" t="s">
        <v>34</v>
      </c>
      <c r="C7" s="1" t="s">
        <v>78</v>
      </c>
      <c r="D7" s="1" t="s">
        <v>79</v>
      </c>
      <c r="E7" s="1" t="s">
        <v>80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85</v>
      </c>
      <c r="K7" s="1" t="s">
        <v>86</v>
      </c>
      <c r="L7" s="4" t="s">
        <v>123</v>
      </c>
      <c r="M7" s="4" t="s">
        <v>124</v>
      </c>
      <c r="N7" s="4" t="s">
        <v>125</v>
      </c>
    </row>
    <row r="8" spans="1:14" ht="24.75" customHeight="1" x14ac:dyDescent="0.25">
      <c r="A8" s="44"/>
      <c r="B8" s="2" t="s">
        <v>35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.75" customHeight="1" x14ac:dyDescent="0.25">
      <c r="A9" s="44"/>
      <c r="B9" s="2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4.75" customHeight="1" x14ac:dyDescent="0.25">
      <c r="A10" s="44"/>
      <c r="B10" s="2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4.75" customHeight="1" x14ac:dyDescent="0.25">
      <c r="A11" s="44"/>
      <c r="B11" s="2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4" spans="1:14" ht="30" customHeight="1" x14ac:dyDescent="0.25">
      <c r="A14" s="44" t="s">
        <v>48</v>
      </c>
      <c r="B14" s="1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</row>
    <row r="15" spans="1:14" ht="30" customHeight="1" x14ac:dyDescent="0.25">
      <c r="A15" s="44"/>
      <c r="B15" s="2" t="s">
        <v>21</v>
      </c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28</v>
      </c>
      <c r="J15" s="4" t="s">
        <v>29</v>
      </c>
      <c r="K15" s="4" t="s">
        <v>30</v>
      </c>
      <c r="L15" s="4" t="s">
        <v>31</v>
      </c>
      <c r="M15" s="1"/>
      <c r="N15" s="1"/>
    </row>
    <row r="16" spans="1:14" ht="30" customHeight="1" x14ac:dyDescent="0.25">
      <c r="A16" s="44"/>
      <c r="B16" s="2" t="s">
        <v>32</v>
      </c>
      <c r="C16" s="5" t="s">
        <v>126</v>
      </c>
      <c r="D16" s="5" t="s">
        <v>127</v>
      </c>
      <c r="E16" s="4" t="s">
        <v>123</v>
      </c>
      <c r="F16" s="4" t="s">
        <v>124</v>
      </c>
      <c r="G16" s="4" t="s">
        <v>125</v>
      </c>
      <c r="H16" s="1"/>
      <c r="I16" s="1"/>
      <c r="J16" s="1"/>
      <c r="K16" s="1"/>
      <c r="L16" s="1"/>
      <c r="M16" s="1"/>
      <c r="N16" s="1"/>
    </row>
    <row r="17" spans="1:14" ht="30" customHeight="1" x14ac:dyDescent="0.25">
      <c r="A17" s="44"/>
      <c r="B17" s="2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30" customHeight="1" x14ac:dyDescent="0.25">
      <c r="A18" s="44"/>
      <c r="B18" s="2" t="s">
        <v>34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30" customHeight="1" x14ac:dyDescent="0.25">
      <c r="A19" s="44"/>
      <c r="B19" s="2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30" customHeight="1" x14ac:dyDescent="0.25">
      <c r="A20" s="44"/>
      <c r="B20" s="2" t="s">
        <v>36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 x14ac:dyDescent="0.25">
      <c r="A21" s="44"/>
      <c r="B21" s="2" t="s">
        <v>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0" customHeight="1" x14ac:dyDescent="0.25">
      <c r="A22" s="44"/>
      <c r="B22" s="2" t="s">
        <v>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2">
    <mergeCell ref="A3:A11"/>
    <mergeCell ref="A14:A22"/>
  </mergeCells>
  <conditionalFormatting sqref="C7:K7">
    <cfRule type="cellIs" dxfId="1" priority="2" operator="equal">
      <formula>0</formula>
    </cfRule>
  </conditionalFormatting>
  <conditionalFormatting sqref="C5:N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Normalisation_Data set Client</vt:lpstr>
      <vt:lpstr>Quality Control</vt:lpstr>
      <vt:lpstr>Plate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Lefevre</dc:creator>
  <cp:lastModifiedBy>Rodrigo Formiga</cp:lastModifiedBy>
  <dcterms:created xsi:type="dcterms:W3CDTF">2015-06-05T18:19:34Z</dcterms:created>
  <dcterms:modified xsi:type="dcterms:W3CDTF">2025-01-21T12:07:27Z</dcterms:modified>
</cp:coreProperties>
</file>